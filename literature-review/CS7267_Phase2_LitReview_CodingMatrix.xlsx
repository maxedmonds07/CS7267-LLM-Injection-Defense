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4340" windowHeight="22460" tabRatio="500" firstSheet="0" activeTab="0" autoFilterDateGrouping="1"/>
  </bookViews>
  <sheets>
    <sheet name="Codebook" sheetId="1" state="visible" r:id="rId1"/>
    <sheet name="Coding Matrix" sheetId="2" state="visible" r:id="rId2"/>
    <sheet name="Coverage" sheetId="3" state="visible" r:id="rId3"/>
  </sheets>
  <definedNames>
    <definedName name="_xlnm._FilterDatabase" localSheetId="1" hidden="1">'Coding Matrix'!$A$1:$AC$21</definedName>
  </definedNames>
  <calcPr calcId="191029" fullCalcOnLoad="1" iterateDelta="0.0001"/>
</workbook>
</file>

<file path=xl/styles.xml><?xml version="1.0" encoding="utf-8"?>
<styleSheet xmlns="http://schemas.openxmlformats.org/spreadsheetml/2006/main">
  <numFmts count="0"/>
  <fonts count="11">
    <font>
      <name val="Calibri"/>
      <charset val="1"/>
      <family val="2"/>
      <color theme="1"/>
      <sz val="11"/>
    </font>
    <font>
      <name val="Arial"/>
      <charset val="1"/>
      <b val="1"/>
      <sz val="14"/>
    </font>
    <font>
      <name val="Arial"/>
      <charset val="1"/>
      <i val="1"/>
      <sz val="10"/>
    </font>
    <font>
      <name val="Arial"/>
      <charset val="1"/>
      <b val="1"/>
      <sz val="10"/>
    </font>
    <font>
      <name val="Arial"/>
      <charset val="1"/>
      <sz val="10"/>
    </font>
    <font>
      <name val="Arial"/>
      <charset val="1"/>
      <b val="1"/>
      <color rgb="FFFFFFFF"/>
      <sz val="10"/>
    </font>
    <font>
      <name val="Arial"/>
      <charset val="1"/>
      <b val="1"/>
      <color rgb="FFC00000"/>
      <sz val="10"/>
    </font>
    <font>
      <name val="Arial"/>
      <family val="2"/>
      <sz val="10"/>
    </font>
    <font>
      <name val="Arial"/>
      <family val="2"/>
      <color rgb="FFFF0000"/>
      <sz val="10"/>
    </font>
    <font>
      <name val="Arial"/>
      <family val="2"/>
      <b val="1"/>
      <sz val="10"/>
    </font>
    <font>
      <name val="Calibri"/>
      <charset val="1"/>
      <family val="2"/>
      <color rgb="FF000000"/>
      <sz val="11"/>
    </font>
  </fonts>
  <fills count="5">
    <fill>
      <patternFill/>
    </fill>
    <fill>
      <patternFill patternType="gray125"/>
    </fill>
    <fill>
      <patternFill patternType="solid">
        <fgColor rgb="FFF2F2F2"/>
        <bgColor rgb="FFFFFFFF"/>
      </patternFill>
    </fill>
    <fill>
      <patternFill patternType="solid">
        <fgColor rgb="FFFFFFCC"/>
        <bgColor rgb="FFFFFFFF"/>
      </patternFill>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9">
    <xf numFmtId="0" fontId="0"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5" fillId="4" borderId="1" applyAlignment="1" pivotButton="0" quotePrefix="0" xfId="0">
      <alignment vertical="top" wrapText="1"/>
    </xf>
    <xf numFmtId="0" fontId="4" fillId="0" borderId="1" applyAlignment="1" pivotButton="0" quotePrefix="0" xfId="0">
      <alignment vertical="top" wrapText="1"/>
    </xf>
    <xf numFmtId="0" fontId="5" fillId="4" borderId="1" pivotButton="0" quotePrefix="0" xfId="0"/>
    <xf numFmtId="0" fontId="4" fillId="0" borderId="1" pivotButton="0" quotePrefix="0" xfId="0"/>
    <xf numFmtId="0" fontId="4" fillId="3" borderId="1" pivotButton="0" quotePrefix="0" xfId="0"/>
    <xf numFmtId="0" fontId="0" fillId="3"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6" fillId="2" borderId="1" applyAlignment="1" pivotButton="0" quotePrefix="0" xfId="0">
      <alignment vertical="top" wrapText="1"/>
    </xf>
    <xf numFmtId="0" fontId="4" fillId="0" borderId="0" pivotButton="0" quotePrefix="0" xfId="0"/>
    <xf numFmtId="0" fontId="5" fillId="4" borderId="0" pivotButton="0" quotePrefix="0" xfId="0"/>
    <xf numFmtId="9" fontId="4" fillId="0" borderId="1" pivotButton="0" quotePrefix="0" xfId="0"/>
    <xf numFmtId="0" fontId="0" fillId="4" borderId="0" pivotButton="0" quotePrefix="0" xfId="0"/>
    <xf numFmtId="0" fontId="3" fillId="0" borderId="1" applyAlignment="1" pivotButton="0" quotePrefix="0" xfId="0">
      <alignment vertical="top" wrapText="1"/>
    </xf>
    <xf numFmtId="0" fontId="4" fillId="0" borderId="1" applyAlignment="1" pivotButton="0" quotePrefix="0" xfId="0">
      <alignment horizontal="center"/>
    </xf>
    <xf numFmtId="0" fontId="8" fillId="0" borderId="1" applyAlignment="1" pivotButton="0" quotePrefix="0" xfId="0">
      <alignment vertical="top" wrapText="1"/>
    </xf>
    <xf numFmtId="0" fontId="9" fillId="0" borderId="0" pivotButton="0" quotePrefix="0" xfId="0"/>
    <xf numFmtId="0" fontId="7" fillId="0" borderId="0" applyAlignment="1" pivotButton="0" quotePrefix="0" xfId="0">
      <alignment horizontal="left" vertical="top" wrapText="1"/>
    </xf>
    <xf numFmtId="0" fontId="10" fillId="3" borderId="1" applyAlignment="1" pivotButton="0" quotePrefix="0" xfId="0">
      <alignment horizontal="left" wrapText="1"/>
    </xf>
    <xf numFmtId="14" fontId="0" fillId="3" borderId="1" applyAlignment="1" pivotButton="0" quotePrefix="0" xfId="0">
      <alignment vertical="top"/>
    </xf>
    <xf numFmtId="0" fontId="0" fillId="3" borderId="1" applyAlignment="1" pivotButton="0" quotePrefix="0" xfId="0">
      <alignment vertical="top"/>
    </xf>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Unknown Author</author>
  </authors>
  <commentList>
    <comment ref="K1" authorId="0" shapeId="0">
      <text>
        <t>Confirm the venue and year against a fetched arXiv abstract, proceedings entry, or publisher record before citing. Rule 2 of the project instructions.</t>
      </text>
    </comment>
    <comment ref="L1" authorId="0" shapeId="0">
      <text>
        <t>What the paper primarily contributes.</t>
      </text>
    </comment>
    <comment ref="M1" authorId="0" shapeId="0">
      <text>
        <t>Where the adversarial content enters the system.</t>
      </text>
    </comment>
    <comment ref="N1" authorId="0" shapeId="0">
      <text>
        <t>Who the attacker is and how the payload reaches the model, e.g. 'third party controls a web page the agent reads'.</t>
      </text>
    </comment>
    <comment ref="O1" authorId="0" shapeId="0">
      <text>
        <t>Black-box, white-box, no-box; number of injected texts; whether the attacker knows the user query, the defense, or the model.</t>
      </text>
    </comment>
    <comment ref="P1" authorId="0" shapeId="0">
      <text>
        <t>What the attacker is trying to achieve.</t>
      </text>
    </comment>
    <comment ref="R1" authorId="0" shapeId="0">
      <text>
        <t>Mechanism family. Use N/A for attack- or benchmark-only papers.</t>
      </text>
    </comment>
    <comment ref="S1" authorId="0" shapeId="0">
      <text>
        <t>Where in the stack the defense sits.</t>
      </text>
    </comment>
    <comment ref="T1" authorId="0" shapeId="0">
      <text>
        <t>What the defense assumes is trusted: the user query, the system prompt, the tool schema, the orchestrator code.</t>
      </text>
    </comment>
    <comment ref="U1" authorId="0" shapeId="0">
      <text>
        <t>Name each benchmark and, if stated, the version.</t>
      </text>
    </comment>
    <comment ref="V1" authorId="0" shapeId="0">
      <text>
        <t>The headline number's metric.</t>
      </text>
    </comment>
    <comment ref="W1" authorId="0" shapeId="0">
      <text>
        <t>One number, with the page or table it came from. Abstract-level figures are citable; table values must be re-checked in the PDF.</t>
      </text>
    </comment>
    <comment ref="X1" authorId="0" shapeId="0">
      <text>
        <t>Yes if MCP is the object of study; Partial if generic tool calling is studied and MCP is mentioned.</t>
      </text>
    </comment>
    <comment ref="Y1" authorId="0" shapeId="0">
      <text>
        <t>Team judgement.</t>
      </text>
    </comment>
    <comment ref="Z1" authorId="0" shapeId="0">
      <text>
        <t>If a paper does not fit, that is a signal the frame needs a new column.</t>
      </text>
    </comment>
    <comment ref="AB1" authorId="0" shapeId="0">
      <text>
        <t>YYYY-MM-DD</t>
      </text>
    </comment>
    <comment ref="B3" authorId="0" shapeId="0">
      <text>
        <t>File name says 2025 but the arXiv stamp is 25 Sep 2024.</t>
      </text>
    </comment>
    <comment ref="B10" authorId="0" shapeId="0">
      <text>
        <t>This copy carries no venue, year, or arXiv stamp on page 1. Verify against arXiv / proceedings before citing.</t>
      </text>
    </comment>
    <comment ref="B11" authorId="0" shapeId="0">
      <text>
        <t>File name says 'piet_at_al_2026' but the arXiv stamp is 8 Jan 2024. Consider renaming the file.</t>
      </text>
    </comment>
    <comment ref="B16" authorId="0" shapeId="0">
      <text>
        <t>File name says 'yuan_2026' but the PDF's first author is Jiawen Shi and the arXiv stamp is 2025. Consider renaming the file.</t>
      </text>
    </comment>
    <comment ref="B21" authorId="0" shapeId="0">
      <text>
        <t>File name says 2025 but the arXiv stamp is 13 Aug 2024. Consider renaming the file.</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62"/>
  <sheetViews>
    <sheetView tabSelected="1" topLeftCell="A29" zoomScaleNormal="100" workbookViewId="0">
      <selection activeCell="E59" sqref="E59"/>
    </sheetView>
  </sheetViews>
  <sheetFormatPr baseColWidth="10" defaultColWidth="8.6640625" defaultRowHeight="15"/>
  <cols>
    <col width="34" customWidth="1" min="1" max="1"/>
    <col width="12" customWidth="1" min="2" max="2"/>
    <col width="60" customWidth="1" min="3" max="3"/>
    <col width="70" customWidth="1" min="4" max="4"/>
  </cols>
  <sheetData>
    <row r="1" ht="17.25" customHeight="1">
      <c r="A1" s="3" t="inlineStr">
        <is>
          <t>CS7267 Literature Coding Matrix: Codebook</t>
        </is>
      </c>
    </row>
    <row r="2" ht="15" customHeight="1">
      <c r="A2" s="4" t="inlineStr">
        <is>
          <t>Version 0.2, 2026-09-12. Metadata transcribed from the PDFs. Coding columns drafted by Claude on 2026-09-12 from each paper's abstract, introduction, and threat-model section; every row must be re-read and confirmed by a team member before anything from this matrix is cited. Change 'Coded by' to your initials once confirmed.</t>
        </is>
      </c>
    </row>
    <row r="4" ht="15" customHeight="1">
      <c r="A4" s="5" t="inlineStr">
        <is>
          <t>How to use</t>
        </is>
      </c>
    </row>
    <row r="5" ht="31.5" customHeight="1">
      <c r="A5" s="2" t="inlineStr">
        <is>
          <t>1. Read the survey / taxonomy papers first and check whether the columns below cover the dimensions they use. Add a column if not; record the change in the Change log at the bottom of this sheet.</t>
        </is>
      </c>
    </row>
    <row r="6" ht="31.5" customHeight="1">
      <c r="A6" s="2" t="inlineStr">
        <is>
          <t>2. Code every remaining paper as one row on the 'Coding Matrix' sheet. Grey columns are bibliographic metadata already transcribed from each PDF's first page; yellow columns are yours to fill. Dropdown columns accept only the values listed here.</t>
        </is>
      </c>
    </row>
    <row r="7" ht="31.5" customHeight="1">
      <c r="A7" s="2" t="inlineStr">
        <is>
          <t>3. Verify venue and year for every row before citing it (column 'Venue verified?'). Rows marked UNVERIFIED or 'Preprint (as downloaded)' may have a later peer-reviewed version; an arXiv preprint is not a conference paper until you have checked.</t>
        </is>
      </c>
    </row>
    <row r="8" ht="31.5" customHeight="1">
      <c r="A8" s="2" t="inlineStr">
        <is>
          <t>4. The 'Coverage' sheet counts how the coded papers distribute across each dimension. Empty cells in the design space are candidate gaps; crowded cells are where a novelty claim will not survive review.</t>
        </is>
      </c>
    </row>
    <row r="9" ht="31.5" customHeight="1">
      <c r="A9" s="2" t="inlineStr">
        <is>
          <t>5. Keep the BibTeX file in step with the ID column so that citations in the report map back to rows here.</t>
        </is>
      </c>
    </row>
    <row r="11" ht="15" customHeight="1">
      <c r="A11" s="5" t="inlineStr">
        <is>
          <t>Legend</t>
        </is>
      </c>
    </row>
    <row r="12" ht="15" customHeight="1">
      <c r="A12" s="6" t="inlineStr">
        <is>
          <t>Grey fill</t>
        </is>
      </c>
      <c r="B12" s="2" t="inlineStr">
        <is>
          <t>Bibliographic metadata transcribed from the PDF. Edit only to correct a transcription error.</t>
        </is>
      </c>
    </row>
    <row r="13" ht="15" customHeight="1">
      <c r="A13" s="7" t="inlineStr">
        <is>
          <t>Yellow fill</t>
        </is>
      </c>
      <c r="B13" s="2" t="inlineStr">
        <is>
          <t>Team fills in. Dropdown where a value list exists; free text otherwise.</t>
        </is>
      </c>
    </row>
    <row r="15" ht="15" customHeight="1">
      <c r="A15" s="8" t="inlineStr">
        <is>
          <t>Column</t>
        </is>
      </c>
      <c r="B15" s="8" t="inlineStr">
        <is>
          <t>Type</t>
        </is>
      </c>
      <c r="C15" s="8" t="inlineStr">
        <is>
          <t>Allowed values</t>
        </is>
      </c>
      <c r="D15" s="8" t="inlineStr">
        <is>
          <t>Definition / guidance</t>
        </is>
      </c>
    </row>
    <row r="16" ht="30" customHeight="1">
      <c r="A16" s="9" t="inlineStr">
        <is>
          <t>Venue verified? (Y/N + where)</t>
        </is>
      </c>
      <c r="B16" s="9" t="inlineStr">
        <is>
          <t>Free text</t>
        </is>
      </c>
      <c r="C16" s="9" t="n"/>
      <c r="D16" s="9" t="inlineStr">
        <is>
          <t>Confirm the venue and year against a fetched arXiv abstract, proceedings entry, or publisher record before citing. Rule 2 of the project instructions.</t>
        </is>
      </c>
    </row>
    <row r="17" ht="48" customHeight="1">
      <c r="A17" s="9" t="inlineStr">
        <is>
          <t>Paper type</t>
        </is>
      </c>
      <c r="B17" s="9" t="inlineStr">
        <is>
          <t>Dropdown</t>
        </is>
      </c>
      <c r="C17" s="9" t="inlineStr">
        <is>
          <t>Attack; Defense; Benchmark / environment; Evaluation methodology; Survey / taxonomy; Mixed (note which)</t>
        </is>
      </c>
      <c r="D17" s="9" t="inlineStr">
        <is>
          <t>What the paper primarily contributes.</t>
        </is>
      </c>
    </row>
    <row r="18" ht="48" customHeight="1">
      <c r="A18" s="9" t="inlineStr">
        <is>
          <t>Attack surface</t>
        </is>
      </c>
      <c r="B18" s="9" t="inlineStr">
        <is>
          <t>Dropdown</t>
        </is>
      </c>
      <c r="C18" s="9" t="inlineStr">
        <is>
          <t>RAG corpus / retriever; Tool output (indirect, at runtime); Tool description / metadata (MCP); Direct user input; Multiple (note which)</t>
        </is>
      </c>
      <c r="D18" s="9" t="inlineStr">
        <is>
          <t>Where the adversarial content enters the system.</t>
        </is>
      </c>
    </row>
    <row r="19" ht="30" customHeight="1">
      <c r="A19" s="9" t="inlineStr">
        <is>
          <t>Attacker position / channel (free text)</t>
        </is>
      </c>
      <c r="B19" s="9" t="inlineStr">
        <is>
          <t>Free text</t>
        </is>
      </c>
      <c r="C19" s="9" t="n"/>
      <c r="D19" s="9" t="inlineStr">
        <is>
          <t>Who the attacker is and how the payload reaches the model, e.g. 'third party controls a web page the agent reads'.</t>
        </is>
      </c>
    </row>
    <row r="20" ht="30" customHeight="1">
      <c r="A20" s="9" t="inlineStr">
        <is>
          <t>Threat model / attacker capability (free text)</t>
        </is>
      </c>
      <c r="B20" s="9" t="inlineStr">
        <is>
          <t>Free text</t>
        </is>
      </c>
      <c r="C20" s="9" t="n"/>
      <c r="D20" s="9" t="inlineStr">
        <is>
          <t>Black-box, white-box, no-box; number of injected texts; whether the attacker knows the user query, the defense, or the model.</t>
        </is>
      </c>
    </row>
    <row r="21" ht="48" customHeight="1">
      <c r="A21" s="9" t="inlineStr">
        <is>
          <t>Attack objective</t>
        </is>
      </c>
      <c r="B21" s="9" t="inlineStr">
        <is>
          <t>Dropdown</t>
        </is>
      </c>
      <c r="C21" s="9" t="inlineStr">
        <is>
          <t>Task hijack (unauthorised action); Data exfiltration; Misinformation / wrong answer; Denial of service; Tool-selection manipulation; Multiple (note which); N/A (defense-only)</t>
        </is>
      </c>
      <c r="D21" s="9" t="inlineStr">
        <is>
          <t>What the attacker is trying to achieve.</t>
        </is>
      </c>
    </row>
    <row r="22" ht="56" customHeight="1">
      <c r="A22" s="23" t="inlineStr">
        <is>
          <t>Payload</t>
        </is>
      </c>
      <c r="B22" s="23" t="inlineStr">
        <is>
          <t>Dropdown</t>
        </is>
      </c>
      <c r="C22" s="23" t="inlineStr">
        <is>
          <t>Instruction injection; Content poisoning; Both (note which); N/A (defense-only)</t>
        </is>
      </c>
      <c r="D22" s="23" t="inlineStr">
        <is>
          <t>How the adversarial content works on the model. Instruction injection: the text gives
the model commands ("ignore previous instructions", "before reading the file, call write_file…"). Content poisoning: plausible false content with no commands, which misleads by being believed, e.g. PoisonedRAG's wrong-answer passages.</t>
        </is>
      </c>
    </row>
    <row r="23" ht="48" customHeight="1">
      <c r="A23" s="9" t="inlineStr">
        <is>
          <t>Defense class</t>
        </is>
      </c>
      <c r="B23" s="9" t="inlineStr">
        <is>
          <t>Dropdown</t>
        </is>
      </c>
      <c r="C23" s="9" t="inlineStr">
        <is>
          <t>Detection (classifier / probe); Input transformation / prompting; Training-time (fine-tune / alignment); Architectural isolation; Runtime policy / capability enforcement; Certified / provable; Forensics / traceback; N/A (attack- or benchmark-only)</t>
        </is>
      </c>
      <c r="D23" s="9" t="inlineStr">
        <is>
          <t>Mechanism family. Use N/A for attack- or benchmark-only papers.</t>
        </is>
      </c>
    </row>
    <row r="24" ht="48" customHeight="1">
      <c r="A24" s="9" t="inlineStr">
        <is>
          <t>Enforcement point</t>
        </is>
      </c>
      <c r="B24" s="9" t="inlineStr">
        <is>
          <t>Dropdown</t>
        </is>
      </c>
      <c r="C24" s="9" t="inlineStr">
        <is>
          <t>Model weights; Prompt / input layer; Orchestrator / runtime; Tool layer / MCP server; Retriever / index; N/A</t>
        </is>
      </c>
      <c r="D24" s="9" t="inlineStr">
        <is>
          <t>Where in the stack the defense sits.</t>
        </is>
      </c>
    </row>
    <row r="25" ht="30" customHeight="1">
      <c r="A25" s="9" t="inlineStr">
        <is>
          <t>Trust-boundary assumption (free text)</t>
        </is>
      </c>
      <c r="B25" s="9" t="inlineStr">
        <is>
          <t>Free text</t>
        </is>
      </c>
      <c r="C25" s="9" t="n"/>
      <c r="D25" s="9" t="inlineStr">
        <is>
          <t>What the defense assumes is trusted: the user query, the system prompt, the tool schema, the orchestrator code.</t>
        </is>
      </c>
    </row>
    <row r="26" ht="30" customHeight="1">
      <c r="A26" s="9" t="inlineStr">
        <is>
          <t>Benchmarks / datasets used (free text)</t>
        </is>
      </c>
      <c r="B26" s="9" t="inlineStr">
        <is>
          <t>Free text</t>
        </is>
      </c>
      <c r="C26" s="9" t="n"/>
      <c r="D26" s="9" t="inlineStr">
        <is>
          <t>Name each benchmark and, if stated, the version.</t>
        </is>
      </c>
    </row>
    <row r="27" ht="48" customHeight="1">
      <c r="A27" s="9" t="inlineStr">
        <is>
          <t>Primary metric</t>
        </is>
      </c>
      <c r="B27" s="9" t="inlineStr">
        <is>
          <t>Dropdown</t>
        </is>
      </c>
      <c r="C27" s="9" t="inlineStr">
        <is>
          <t>ASR (attack success rate); Utility / task success; AUROC; FPR / FNR / TPR; Certified accuracy; Other (note)</t>
        </is>
      </c>
      <c r="D27" s="9" t="inlineStr">
        <is>
          <t>The headline number's metric.</t>
        </is>
      </c>
    </row>
    <row r="28" ht="30" customHeight="1">
      <c r="A28" s="9" t="inlineStr">
        <is>
          <t>Key quantitative result + page/table (free text)</t>
        </is>
      </c>
      <c r="B28" s="9" t="inlineStr">
        <is>
          <t>Free text</t>
        </is>
      </c>
      <c r="C28" s="9" t="n"/>
      <c r="D28" s="9" t="inlineStr">
        <is>
          <t>One number, with the page or table it came from. Abstract-level figures are citable; table values must be re-checked in the PDF.</t>
        </is>
      </c>
    </row>
    <row r="29" ht="48" customHeight="1">
      <c r="A29" s="9" t="inlineStr">
        <is>
          <t>Addresses MCP explicitly</t>
        </is>
      </c>
      <c r="B29" s="9" t="inlineStr">
        <is>
          <t>Dropdown</t>
        </is>
      </c>
      <c r="C29" s="9" t="inlineStr">
        <is>
          <t>Yes; Partial; No</t>
        </is>
      </c>
      <c r="D29" s="9" t="inlineStr">
        <is>
          <t>Yes if MCP is the object of study; Partial if generic tool calling is studied and MCP is mentioned.</t>
        </is>
      </c>
    </row>
    <row r="30" ht="48" customHeight="1">
      <c r="A30" s="9" t="inlineStr">
        <is>
          <t>Relevance to our RQ</t>
        </is>
      </c>
      <c r="B30" s="9" t="inlineStr">
        <is>
          <t>Dropdown</t>
        </is>
      </c>
      <c r="C30" s="9" t="inlineStr">
        <is>
          <t>High; Medium; Low</t>
        </is>
      </c>
      <c r="D30" s="9" t="inlineStr">
        <is>
          <t>Team judgement.</t>
        </is>
      </c>
    </row>
    <row r="31" ht="48" customHeight="1">
      <c r="A31" s="9" t="inlineStr">
        <is>
          <t>Fits the coding frame?</t>
        </is>
      </c>
      <c r="B31" s="9" t="inlineStr">
        <is>
          <t>Dropdown</t>
        </is>
      </c>
      <c r="C31" s="9" t="inlineStr">
        <is>
          <t>Fits frame; Needs new dimension (note)</t>
        </is>
      </c>
      <c r="D31" s="9" t="inlineStr">
        <is>
          <t>If a paper does not fit, that is a signal the frame needs a new column.</t>
        </is>
      </c>
    </row>
    <row r="32" ht="30" customHeight="1">
      <c r="A32" s="9" t="inlineStr">
        <is>
          <t>Coded by (initials)</t>
        </is>
      </c>
      <c r="B32" s="9" t="inlineStr">
        <is>
          <t>Free text</t>
        </is>
      </c>
      <c r="C32" s="9" t="n"/>
      <c r="D32" s="9" t="n"/>
    </row>
    <row r="33" ht="30" customHeight="1">
      <c r="A33" s="9" t="inlineStr">
        <is>
          <t>Date coded</t>
        </is>
      </c>
      <c r="B33" s="9" t="inlineStr">
        <is>
          <t>Free text</t>
        </is>
      </c>
      <c r="C33" s="9" t="n"/>
      <c r="D33" s="9" t="inlineStr">
        <is>
          <t>YYYY-MM-DD</t>
        </is>
      </c>
    </row>
    <row r="34" ht="30" customHeight="1">
      <c r="A34" s="9" t="inlineStr">
        <is>
          <t>Notes (free text)</t>
        </is>
      </c>
      <c r="B34" s="9" t="inlineStr">
        <is>
          <t>Free text</t>
        </is>
      </c>
      <c r="C34" s="9" t="n"/>
      <c r="D34" s="9" t="n"/>
    </row>
    <row r="36" ht="15" customHeight="1">
      <c r="A36" s="5" t="inlineStr">
        <is>
          <t>Worked example (fictitious paper, illustrating the expected level of detail)</t>
        </is>
      </c>
    </row>
    <row r="37" ht="15" customHeight="1">
      <c r="A37" s="5" t="inlineStr">
        <is>
          <t>Paper type</t>
        </is>
      </c>
      <c r="B37" s="2" t="inlineStr">
        <is>
          <t>Defense</t>
        </is>
      </c>
    </row>
    <row r="38" ht="15" customHeight="1">
      <c r="A38" s="5" t="inlineStr">
        <is>
          <t>Attack surface</t>
        </is>
      </c>
      <c r="B38" s="2" t="inlineStr">
        <is>
          <t>Tool output (indirect, at runtime)</t>
        </is>
      </c>
    </row>
    <row r="39" ht="15" customHeight="1">
      <c r="A39" s="5" t="inlineStr">
        <is>
          <t>Attacker position / channel</t>
        </is>
      </c>
      <c r="B39" s="2" t="inlineStr">
        <is>
          <t>Third party controls a web page the agent's browse tool returns</t>
        </is>
      </c>
    </row>
    <row r="40" ht="15" customHeight="1">
      <c r="A40" s="5" t="inlineStr">
        <is>
          <t>Threat model / attacker capability</t>
        </is>
      </c>
      <c r="B40" s="2" t="inlineStr">
        <is>
          <t>Black-box; attacker knows the tool set but not the user query; one injected document</t>
        </is>
      </c>
    </row>
    <row r="41" ht="15" customHeight="1">
      <c r="A41" s="5" t="inlineStr">
        <is>
          <t>Attack objective</t>
        </is>
      </c>
      <c r="B41" s="2" t="inlineStr">
        <is>
          <t>Task hijack (unauthorised action)</t>
        </is>
      </c>
    </row>
    <row r="42" ht="15" customHeight="1">
      <c r="A42" s="24" t="inlineStr">
        <is>
          <t>Payload</t>
        </is>
      </c>
      <c r="B42" s="25" t="inlineStr">
        <is>
          <t>Instruction injection</t>
        </is>
      </c>
    </row>
    <row r="43" ht="15" customHeight="1">
      <c r="A43" s="5" t="inlineStr">
        <is>
          <t>Defense class</t>
        </is>
      </c>
      <c r="B43" s="2" t="inlineStr">
        <is>
          <t>Runtime policy / capability enforcement</t>
        </is>
      </c>
    </row>
    <row r="44" ht="15" customHeight="1">
      <c r="A44" s="5" t="inlineStr">
        <is>
          <t>Enforcement point</t>
        </is>
      </c>
      <c r="B44" s="2" t="inlineStr">
        <is>
          <t>Orchestrator / runtime</t>
        </is>
      </c>
    </row>
    <row r="45" ht="15" customHeight="1">
      <c r="A45" s="5" t="inlineStr">
        <is>
          <t>Trust-boundary assumption</t>
        </is>
      </c>
      <c r="B45" s="2" t="inlineStr">
        <is>
          <t>User query and orchestrator code trusted; all tool outputs untrusted</t>
        </is>
      </c>
    </row>
    <row r="46" ht="15" customHeight="1">
      <c r="A46" s="5" t="inlineStr">
        <is>
          <t>Benchmarks / datasets used</t>
        </is>
      </c>
      <c r="B46" s="2" t="inlineStr">
        <is>
          <t>AgentDojo v1.2; InjecAgent</t>
        </is>
      </c>
    </row>
    <row r="47" ht="15" customHeight="1">
      <c r="A47" s="5" t="inlineStr">
        <is>
          <t>Primary metric</t>
        </is>
      </c>
      <c r="B47" s="2" t="inlineStr">
        <is>
          <t>ASR (attack success rate)</t>
        </is>
      </c>
    </row>
    <row r="48" ht="15" customHeight="1">
      <c r="A48" s="5" t="inlineStr">
        <is>
          <t>Key quantitative result + page/table</t>
        </is>
      </c>
      <c r="B48" s="2" t="inlineStr">
        <is>
          <t>ASR 3.1% vs 41.7% undefended on AgentDojo, Table 2, p. 7; utility drop 4 points</t>
        </is>
      </c>
    </row>
    <row r="49" ht="15" customHeight="1">
      <c r="A49" s="5" t="inlineStr">
        <is>
          <t>Addresses MCP explicitly</t>
        </is>
      </c>
      <c r="B49" s="2" t="inlineStr">
        <is>
          <t>Partial</t>
        </is>
      </c>
    </row>
    <row r="50" ht="15" customHeight="1">
      <c r="A50" s="5" t="inlineStr">
        <is>
          <t>Relevance to our RQ</t>
        </is>
      </c>
      <c r="B50" s="2" t="inlineStr">
        <is>
          <t>High</t>
        </is>
      </c>
    </row>
    <row r="51" ht="15" customHeight="1">
      <c r="A51" s="5" t="inlineStr">
        <is>
          <t>Fits the coding frame?</t>
        </is>
      </c>
      <c r="B51" s="2" t="inlineStr">
        <is>
          <t>Fits frame</t>
        </is>
      </c>
    </row>
    <row r="52" ht="15" customHeight="1">
      <c r="A52" s="5" t="inlineStr">
        <is>
          <t>Notes</t>
        </is>
      </c>
      <c r="B52" s="2" t="inlineStr">
        <is>
          <t>Assumes tool schemas are static; does not cover tool-description poisoning</t>
        </is>
      </c>
    </row>
    <row r="54" ht="15" customHeight="1">
      <c r="A54" s="5" t="inlineStr">
        <is>
          <t>Change log (record every added, removed, or redefined column)</t>
        </is>
      </c>
    </row>
    <row r="55" ht="15" customHeight="1">
      <c r="A55" s="10" t="inlineStr">
        <is>
          <t>Date</t>
        </is>
      </c>
      <c r="B55" s="10" t="inlineStr">
        <is>
          <t>Who</t>
        </is>
      </c>
      <c r="C55" s="10" t="inlineStr">
        <is>
          <t>Change</t>
        </is>
      </c>
      <c r="D55" s="10" t="inlineStr">
        <is>
          <t>Reason</t>
        </is>
      </c>
    </row>
    <row r="56" ht="15" customHeight="1">
      <c r="A56" s="11" t="inlineStr">
        <is>
          <t>2026-09-10</t>
        </is>
      </c>
      <c r="B56" s="11" t="n"/>
      <c r="C56" s="11" t="inlineStr">
        <is>
          <t>Initial frame created</t>
        </is>
      </c>
      <c r="D56" s="11" t="inlineStr">
        <is>
          <t>Starting point; to be checked against the survey / taxonomy papers</t>
        </is>
      </c>
    </row>
    <row r="57" ht="15" customHeight="1">
      <c r="A57" s="12" t="inlineStr">
        <is>
          <t>2026-09-12</t>
        </is>
      </c>
      <c r="B57" s="12" t="inlineStr">
        <is>
          <t>Claude</t>
        </is>
      </c>
      <c r="C57" s="12" t="inlineStr">
        <is>
          <t>Draft coding of all 20 rows; venue corrected for P03, P05, P14, P15, P17 from footers found in the full text</t>
        </is>
      </c>
      <c r="D57" s="12" t="inlineStr">
        <is>
          <t>Requested by the team on 2026-09-12</t>
        </is>
      </c>
    </row>
    <row r="58" ht="15" customHeight="1">
      <c r="A58" s="12" t="inlineStr">
        <is>
          <t>(proposed)</t>
        </is>
      </c>
      <c r="B58" s="12" t="inlineStr">
        <is>
          <t>Claude</t>
        </is>
      </c>
      <c r="C58" s="12" t="inlineStr">
        <is>
          <t>Add column 'Evaluation protocol' (in-distribution split / held-out dataset / held-out surface)</t>
        </is>
      </c>
      <c r="D58" s="12" t="inlineStr">
        <is>
          <t>P05 (When Benchmarks Lie) does not fit the attack/defense cells; team to accept or reject</t>
        </is>
      </c>
    </row>
    <row r="59" ht="171" customHeight="1">
      <c r="A59" s="27" t="n">
        <v>46277</v>
      </c>
      <c r="B59" s="28" t="inlineStr">
        <is>
          <t>SO</t>
        </is>
      </c>
      <c r="C59" s="28" t="inlineStr">
        <is>
          <t>Added a new column, "payload"</t>
        </is>
      </c>
      <c r="D59" s="26" t="inlineStr">
        <is>
          <t xml:space="preserve">Payload differs from the existing column, Attack Objective, because objective is what the attacker wants, and payload is how the text gets it. The two often line up (poisoning -&gt; misinformation) but not always. An instruction injection can aim at misformation ("tell the user the capital of Brazil is Buenos Aires"), and MCPTox's Information Manipulation tools do exactly that through commands. Those papers get Instruction injection plus misformation, and that combination is why the column is worth having. This column matches the dataset's attack_kind (instruction / poisoning) one to one. So when the write up compares your detector with prior work, you can filter the coded papers the same way you split your results. Instruction-injection papers compre with BIPIA, MCPTox and MSB numbers, and content-poisoning papers compare with PoisonedRAG.
</t>
        </is>
      </c>
    </row>
    <row r="60" ht="15" customHeight="1">
      <c r="A60" s="13" t="n"/>
      <c r="B60" s="13" t="n"/>
      <c r="C60" s="13" t="n"/>
      <c r="D60" s="13" t="n"/>
    </row>
    <row r="61" ht="15" customHeight="1">
      <c r="A61" s="13" t="n"/>
      <c r="B61" s="13" t="n"/>
      <c r="C61" s="13" t="n"/>
      <c r="D61" s="13" t="n"/>
    </row>
    <row r="62">
      <c r="A62" s="13" t="inlineStr">
        <is>
          <t>2026-10-01</t>
        </is>
      </c>
      <c r="B62" s="13" t="inlineStr">
        <is>
          <t>Claude</t>
        </is>
      </c>
      <c r="C62" s="13" t="inlineStr">
        <is>
          <t>Payload column inserted on 'Coding Matrix' after 'Attack objective' (Defense class onward moved one column right; dropdowns, filters and Coverage formulas updated); draft values for all 20 rows, with notes for 'Both' and edge cases; Payload counts added at the bottom of 'Coverage'</t>
        </is>
      </c>
      <c r="D62" s="13" t="inlineStr">
        <is>
          <t>SO's 2026-09-12 change defined the column in the codebook but it was not yet on the matrix sheet</t>
        </is>
      </c>
    </row>
  </sheetData>
  <mergeCells count="23">
    <mergeCell ref="B42:D42"/>
    <mergeCell ref="A5:D5"/>
    <mergeCell ref="A8:D8"/>
    <mergeCell ref="B13:D13"/>
    <mergeCell ref="B44:D44"/>
    <mergeCell ref="B38:D38"/>
    <mergeCell ref="A9:D9"/>
    <mergeCell ref="B37:D37"/>
    <mergeCell ref="B49:D49"/>
    <mergeCell ref="B40:D40"/>
    <mergeCell ref="B51:D51"/>
    <mergeCell ref="A6:D6"/>
    <mergeCell ref="B45:D45"/>
    <mergeCell ref="B41:D41"/>
    <mergeCell ref="B50:D50"/>
    <mergeCell ref="A7:D7"/>
    <mergeCell ref="B47:D47"/>
    <mergeCell ref="B46:D46"/>
    <mergeCell ref="B52:D52"/>
    <mergeCell ref="B43:D43"/>
    <mergeCell ref="B12:D12"/>
    <mergeCell ref="B39:D39"/>
    <mergeCell ref="B48:D48"/>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AC21"/>
  <sheetViews>
    <sheetView zoomScaleNormal="100" workbookViewId="0">
      <pane xSplit="2" ySplit="1" topLeftCell="C2" activePane="bottomRight" state="frozen"/>
      <selection pane="topRight" activeCell="C1" sqref="C1"/>
      <selection pane="bottomLeft" activeCell="A2" sqref="A2"/>
      <selection pane="bottomRight" activeCell="A1" sqref="A1"/>
    </sheetView>
  </sheetViews>
  <sheetFormatPr baseColWidth="10" defaultColWidth="8.6640625" defaultRowHeight="15"/>
  <cols>
    <col width="6" customWidth="1" min="1" max="1"/>
    <col width="18" customWidth="1" min="2" max="2"/>
    <col width="44" customWidth="1" min="3" max="3"/>
    <col width="12" customWidth="1" min="4" max="4"/>
    <col width="40" customWidth="1" min="5" max="5"/>
    <col width="9" customWidth="1" min="6" max="6"/>
    <col width="34" customWidth="1" min="7" max="7"/>
    <col width="26" customWidth="1" min="8" max="8"/>
    <col width="20" customWidth="1" min="9" max="9"/>
    <col width="40" customWidth="1" min="10" max="10"/>
    <col width="16" customWidth="1" min="11" max="11"/>
    <col width="22" customWidth="1" min="12" max="12"/>
    <col width="26" customWidth="1" min="13" max="13"/>
    <col width="30" customWidth="1" min="14" max="15"/>
    <col width="13" customWidth="1" min="15" max="15"/>
    <col width="26" customWidth="1" min="16" max="16"/>
    <col width="26" customWidth="1" min="17" max="17"/>
    <col width="30" customWidth="1" min="18" max="18"/>
    <col width="22" customWidth="1" min="19" max="19"/>
    <col width="30" customWidth="1" min="20" max="20"/>
    <col width="26" customWidth="1" min="21" max="21"/>
    <col width="22" customWidth="1" min="22" max="22"/>
    <col width="36" customWidth="1" min="23" max="24"/>
    <col width="12" customWidth="1" min="24" max="24"/>
    <col width="13" customWidth="1" min="25" max="25"/>
    <col width="22" customWidth="1" min="26" max="26"/>
    <col width="10" customWidth="1" min="27" max="27"/>
    <col width="11" customWidth="1" min="28" max="28"/>
    <col width="40" customWidth="1" min="29" max="29"/>
  </cols>
  <sheetData>
    <row r="1" ht="45" customHeight="1">
      <c r="A1" s="8" t="inlineStr">
        <is>
          <t>ID</t>
        </is>
      </c>
      <c r="B1" s="8" t="inlineStr">
        <is>
          <t>Short name</t>
        </is>
      </c>
      <c r="C1" s="8" t="inlineStr">
        <is>
          <t>Title</t>
        </is>
      </c>
      <c r="D1" s="8" t="inlineStr">
        <is>
          <t>First author</t>
        </is>
      </c>
      <c r="E1" s="8" t="inlineStr">
        <is>
          <t>Authors</t>
        </is>
      </c>
      <c r="F1" s="8" t="inlineStr">
        <is>
          <t>Year (as printed)</t>
        </is>
      </c>
      <c r="G1" s="8" t="inlineStr">
        <is>
          <t>Venue (as printed on PDF)</t>
        </is>
      </c>
      <c r="H1" s="8" t="inlineStr">
        <is>
          <t>arXiv stamp (as printed)</t>
        </is>
      </c>
      <c r="I1" s="8" t="inlineStr">
        <is>
          <t>Provenance (as downloaded)</t>
        </is>
      </c>
      <c r="J1" s="8" t="inlineStr">
        <is>
          <t>File name</t>
        </is>
      </c>
      <c r="K1" s="8" t="inlineStr">
        <is>
          <t>Venue verified? (Y/N + where)</t>
        </is>
      </c>
      <c r="L1" s="8" t="inlineStr">
        <is>
          <t>Paper type</t>
        </is>
      </c>
      <c r="M1" s="8" t="inlineStr">
        <is>
          <t>Attack surface</t>
        </is>
      </c>
      <c r="N1" s="8" t="inlineStr">
        <is>
          <t>Attacker position / channel (free text)</t>
        </is>
      </c>
      <c r="O1" s="8" t="inlineStr">
        <is>
          <t>Threat model / attacker capability (free text)</t>
        </is>
      </c>
      <c r="P1" s="8" t="inlineStr">
        <is>
          <t>Attack objective</t>
        </is>
      </c>
      <c r="Q1" s="8" t="inlineStr">
        <is>
          <t>Payload</t>
        </is>
      </c>
      <c r="R1" s="8" t="inlineStr">
        <is>
          <t>Defense class</t>
        </is>
      </c>
      <c r="S1" s="8" t="inlineStr">
        <is>
          <t>Enforcement point</t>
        </is>
      </c>
      <c r="T1" s="8" t="inlineStr">
        <is>
          <t>Trust-boundary assumption (free text)</t>
        </is>
      </c>
      <c r="U1" s="8" t="inlineStr">
        <is>
          <t>Benchmarks / datasets used (free text)</t>
        </is>
      </c>
      <c r="V1" s="8" t="inlineStr">
        <is>
          <t>Primary metric</t>
        </is>
      </c>
      <c r="W1" s="8" t="inlineStr">
        <is>
          <t>Key quantitative result + page/table (free text)</t>
        </is>
      </c>
      <c r="X1" s="8" t="inlineStr">
        <is>
          <t>Addresses MCP explicitly</t>
        </is>
      </c>
      <c r="Y1" s="8" t="inlineStr">
        <is>
          <t>Relevance to our RQ</t>
        </is>
      </c>
      <c r="Z1" s="8" t="inlineStr">
        <is>
          <t>Fits the coding frame?</t>
        </is>
      </c>
      <c r="AA1" s="8" t="inlineStr">
        <is>
          <t>Coded by (initials)</t>
        </is>
      </c>
      <c r="AB1" s="8" t="inlineStr">
        <is>
          <t>Date coded</t>
        </is>
      </c>
      <c r="AC1" s="8" t="inlineStr">
        <is>
          <t>Notes (free text)</t>
        </is>
      </c>
    </row>
    <row r="2" ht="150" customHeight="1">
      <c r="A2" s="14" t="inlineStr">
        <is>
          <t>P01</t>
        </is>
      </c>
      <c r="B2" s="14" t="inlineStr">
        <is>
          <t>SecAlign</t>
        </is>
      </c>
      <c r="C2" s="14" t="inlineStr">
        <is>
          <t>SecAlign: Defending Against Prompt Injection with Preference Optimization</t>
        </is>
      </c>
      <c r="D2" s="14" t="inlineStr">
        <is>
          <t>Chen</t>
        </is>
      </c>
      <c r="E2" s="14" t="inlineStr">
        <is>
          <t>Sizhe Chen, Arman Zharmagambetov, Saeed Mahloujifar, Kamalika Chaudhuri, David Wagner, Chuan Guo</t>
        </is>
      </c>
      <c r="F2" s="14" t="inlineStr">
        <is>
          <t>2025</t>
        </is>
      </c>
      <c r="G2" s="14" t="inlineStr">
        <is>
          <t>CCS '25 (ACM SIGSAC CCS 2025), Taipei; doi 10.1145/3719027.3744836</t>
        </is>
      </c>
      <c r="H2" s="14" t="inlineStr">
        <is>
          <t>not printed on this copy</t>
        </is>
      </c>
      <c r="I2" s="14" t="inlineStr">
        <is>
          <t>Peer-reviewed conference</t>
        </is>
      </c>
      <c r="J2" s="14" t="inlineStr">
        <is>
          <t>chen_et_al_2025_secalign_defending_against_prompt_injection_with_preference_optimization.pdf</t>
        </is>
      </c>
      <c r="K2" s="15" t="n"/>
      <c r="L2" s="15" t="inlineStr">
        <is>
          <t>Defense</t>
        </is>
      </c>
      <c r="M2" s="15" t="inlineStr">
        <is>
          <t>Multiple (note which)</t>
        </is>
      </c>
      <c r="N2" s="15" t="inlineStr">
        <is>
          <t>Adversary controls the data portion of an LLM-integrated application's input (user documents, web retrieval, API results)</t>
        </is>
      </c>
      <c r="O2" s="15" t="inlineStr">
        <is>
          <t>Attacker injects an arbitrarily long instruction into the data part; knows the benign instruction and prompt format but cannot modify them; white-box access to the LLM assumed to test strong optimization attacks (Sec. 2, 'Threat model')</t>
        </is>
      </c>
      <c r="P2" s="15" t="inlineStr">
        <is>
          <t>Task hijack (unauthorised action)</t>
        </is>
      </c>
      <c r="Q2" s="15" t="inlineStr">
        <is>
          <t>Instruction injection</t>
        </is>
      </c>
      <c r="R2" s="15" t="inlineStr">
        <is>
          <t>Training-time (fine-tune / alignment)</t>
        </is>
      </c>
      <c r="S2" s="15" t="inlineStr">
        <is>
          <t>Model weights</t>
        </is>
      </c>
      <c r="T2" s="15" t="inlineStr">
        <is>
          <t>Benign instruction and prompt format come from the trusted system designer; all data untrusted; defender has full access to modify the LLM</t>
        </is>
      </c>
      <c r="U2" s="15" t="inlineStr">
        <is>
          <t>Own evaluation incl. optimization-based attacks GCG, AdvPrompter (Sec. 5); AlpacaEval2 for utility</t>
        </is>
      </c>
      <c r="V2" s="15" t="inlineStr">
        <is>
          <t>ASR (attack success rate)</t>
        </is>
      </c>
      <c r="W2" s="15" t="inlineStr">
        <is>
          <t>Reduces success rates of various prompt injections to &lt;10%, incl. attacks more sophisticated than those seen in training (abstract)</t>
        </is>
      </c>
      <c r="X2" s="15" t="inlineStr">
        <is>
          <t>No</t>
        </is>
      </c>
      <c r="Y2" s="15" t="inlineStr">
        <is>
          <t>Medium</t>
        </is>
      </c>
      <c r="Z2" s="15" t="inlineStr">
        <is>
          <t>Fits frame</t>
        </is>
      </c>
      <c r="AA2" s="15" t="inlineStr">
        <is>
          <t>Claude (draft; verify)</t>
        </is>
      </c>
      <c r="AB2" s="15" t="inlineStr">
        <is>
          <t>2026-09-12</t>
        </is>
      </c>
      <c r="AC2" s="15" t="inlineStr">
        <is>
          <t>Preference-optimization successor to StruQ; a model-level baseline that a runtime/architectural defense would be compared against. Surface: any data channel of a prompt+data query.</t>
        </is>
      </c>
    </row>
    <row r="3" ht="150" customHeight="1">
      <c r="A3" s="14" t="inlineStr">
        <is>
          <t>P02</t>
        </is>
      </c>
      <c r="B3" s="14" t="inlineStr">
        <is>
          <t>StruQ</t>
        </is>
      </c>
      <c r="C3" s="14" t="inlineStr">
        <is>
          <t>StruQ: Defending Against Prompt Injection with Structured Queries</t>
        </is>
      </c>
      <c r="D3" s="14" t="inlineStr">
        <is>
          <t>Chen</t>
        </is>
      </c>
      <c r="E3" s="14" t="inlineStr">
        <is>
          <t>Sizhe Chen, Julien Piet, Chawin Sitawarin, David Wagner</t>
        </is>
      </c>
      <c r="F3" s="14" t="inlineStr">
        <is>
          <t>2024</t>
        </is>
      </c>
      <c r="G3" s="14" t="inlineStr">
        <is>
          <t>not printed on this copy</t>
        </is>
      </c>
      <c r="H3" s="14" t="inlineStr">
        <is>
          <t>arXiv:2402.06363v2 [cs.CR], 25 Sep 2024</t>
        </is>
      </c>
      <c r="I3" s="14" t="inlineStr">
        <is>
          <t>Preprint (as downloaded)</t>
        </is>
      </c>
      <c r="J3" s="14" t="inlineStr">
        <is>
          <t>chen_et_al_2025_struq_defending_against_prompt_injection_with_structured_queries.pdf</t>
        </is>
      </c>
      <c r="K3" s="15" t="n"/>
      <c r="L3" s="15" t="inlineStr">
        <is>
          <t>Defense</t>
        </is>
      </c>
      <c r="M3" s="15" t="inlineStr">
        <is>
          <t>Multiple (note which)</t>
        </is>
      </c>
      <c r="N3" s="15" t="inlineStr">
        <is>
          <t>Attacker supplies the data portion of a prompt+data query to an LLM-integrated application</t>
        </is>
      </c>
      <c r="O3" s="15" t="inlineStr">
        <is>
          <t>Attacker can arbitrarily modify the data portion but not the prompt; prompt and application formatting assumed known to the attacker (Sec. 4, 'Threat model')</t>
        </is>
      </c>
      <c r="P3" s="15" t="inlineStr">
        <is>
          <t>Task hijack (unauthorised action)</t>
        </is>
      </c>
      <c r="Q3" s="15" t="inlineStr">
        <is>
          <t>Instruction injection</t>
        </is>
      </c>
      <c r="R3" s="15" t="inlineStr">
        <is>
          <t>Training-time (fine-tune / alignment)</t>
        </is>
      </c>
      <c r="S3" s="15" t="inlineStr">
        <is>
          <t>Model weights</t>
        </is>
      </c>
      <c r="T3" s="15" t="inlineStr">
        <is>
          <t>Prompt channel trusted, data channel untrusted; secure front-end formats the two channels with reserved delimiter tokens</t>
        </is>
      </c>
      <c r="U3" s="15" t="inlineStr">
        <is>
          <t>Own evaluation: strongest of many attacks incl. TAP and GCG (Tables 5 and 8)</t>
        </is>
      </c>
      <c r="V3" s="15" t="inlineStr">
        <is>
          <t>ASR (attack success rate)</t>
        </is>
      </c>
      <c r="W3" s="15" t="inlineStr">
        <is>
          <t>Robustness against TAP: 97% to 9% ASR (Sec. 6 text, near Table 5); most non-optimization attacks reported at 0% ASR (same section)</t>
        </is>
      </c>
      <c r="X3" s="15" t="inlineStr">
        <is>
          <t>No</t>
        </is>
      </c>
      <c r="Y3" s="15" t="inlineStr">
        <is>
          <t>Medium</t>
        </is>
      </c>
      <c r="Z3" s="15" t="inlineStr">
        <is>
          <t>Fits frame</t>
        </is>
      </c>
      <c r="AA3" s="15" t="inlineStr">
        <is>
          <t>Claude (draft; verify)</t>
        </is>
      </c>
      <c r="AB3" s="15" t="inlineStr">
        <is>
          <t>2026-09-12</t>
        </is>
      </c>
      <c r="AC3" s="15" t="inlineStr">
        <is>
          <t>Two components: secure front-end (input layer) plus structured instruction tuning (model). Coded to the model since the security property comes from training. Downloaded copy is the arXiv version; a peer-reviewed version may exist, verify before citing.</t>
        </is>
      </c>
    </row>
    <row r="4" ht="150" customHeight="1">
      <c r="A4" s="14" t="inlineStr">
        <is>
          <t>P03</t>
        </is>
      </c>
      <c r="B4" s="14" t="inlineStr">
        <is>
          <t>AgentDojo</t>
        </is>
      </c>
      <c r="C4" s="14" t="inlineStr">
        <is>
          <t>AgentDojo: A Dynamic Environment to Evaluate Prompt Injection Attacks and Defenses for LLM Agents</t>
        </is>
      </c>
      <c r="D4" s="14" t="inlineStr">
        <is>
          <t>Debenedetti</t>
        </is>
      </c>
      <c r="E4" s="14" t="inlineStr">
        <is>
          <t>Edoardo Debenedetti, Jie Zhang, Mislav Balunovic, Luca Beurer-Kellner, Marc Fischer, Florian Tramèr</t>
        </is>
      </c>
      <c r="F4" s="14" t="inlineStr">
        <is>
          <t>2024</t>
        </is>
      </c>
      <c r="G4" s="14" t="inlineStr">
        <is>
          <t>NeurIPS 2024, Datasets and Benchmarks track (footer, p. 1)</t>
        </is>
      </c>
      <c r="H4" s="14" t="inlineStr">
        <is>
          <t>arXiv:2406.13352v3 [cs.CR], 24 Nov 2024</t>
        </is>
      </c>
      <c r="I4" s="14" t="inlineStr">
        <is>
          <t>Peer-reviewed conference (arXiv copy)</t>
        </is>
      </c>
      <c r="J4" s="14" t="inlineStr">
        <is>
          <t>debenedetti_et_al_2024_agentdojo_a_dynamic_environment_to_evaluate_prompt_injection_attacks_and_defenses_for_llm_agents.pdf</t>
        </is>
      </c>
      <c r="K4" s="15" t="n"/>
      <c r="L4" s="15" t="inlineStr">
        <is>
          <t>Benchmark / environment</t>
        </is>
      </c>
      <c r="M4" s="15" t="inlineStr">
        <is>
          <t>Tool output (indirect, at runtime)</t>
        </is>
      </c>
      <c r="N4" s="15" t="inlineStr">
        <is>
          <t>Third party controls data returned by the agent's tools (emails, web pages, documents in the environment)</t>
        </is>
      </c>
      <c r="O4" s="15" t="inlineStr">
        <is>
          <t>Attacker places text in tool-returned data; injection tasks specify the attacker goal; attacks may or may not know the user task or model (Sec. 3 and Sec. 5 adaptive attack discussion)</t>
        </is>
      </c>
      <c r="P4" s="15" t="inlineStr">
        <is>
          <t>Multiple (note which)</t>
        </is>
      </c>
      <c r="Q4" s="15" t="inlineStr">
        <is>
          <t>Instruction injection</t>
        </is>
      </c>
      <c r="R4" s="15" t="inlineStr">
        <is>
          <t>N/A (attack- or benchmark-only)</t>
        </is>
      </c>
      <c r="S4" s="15" t="inlineStr">
        <is>
          <t>N/A</t>
        </is>
      </c>
      <c r="T4" s="15" t="inlineStr">
        <is>
          <t>Benchmark treats environment data as untrusted; user task instruction trusted</t>
        </is>
      </c>
      <c r="U4" s="15" t="inlineStr">
        <is>
          <t>AgentDojo itself: 97 user tasks, 629 security test cases (abstract)</t>
        </is>
      </c>
      <c r="V4" s="15" t="inlineStr">
        <is>
          <t>ASR (attack success rate)</t>
        </is>
      </c>
      <c r="W4" s="15" t="inlineStr">
        <is>
          <t>LLMs solve &lt;66% of tasks without any attack; attacks succeed against the best agents in &lt;25% of cases (Sec. 1, p. 2)</t>
        </is>
      </c>
      <c r="X4" s="15" t="inlineStr">
        <is>
          <t>No</t>
        </is>
      </c>
      <c r="Y4" s="15" t="inlineStr">
        <is>
          <t>High</t>
        </is>
      </c>
      <c r="Z4" s="15" t="inlineStr">
        <is>
          <t>Fits frame</t>
        </is>
      </c>
      <c r="AA4" s="15" t="inlineStr">
        <is>
          <t>Claude (draft; verify)</t>
        </is>
      </c>
      <c r="AB4" s="15" t="inlineStr">
        <is>
          <t>2026-09-12</t>
        </is>
      </c>
      <c r="AC4" s="15" t="inlineStr">
        <is>
          <t>Objectives covered: data exfiltration and unauthorized actions. Also ships defense paradigms (tool filter, spotlighting-style delimiting, etc.). Metric pair: utility under attack and targeted ASR. The evaluation platform CaMeL is measured on.</t>
        </is>
      </c>
    </row>
    <row r="5" ht="150" customHeight="1">
      <c r="A5" s="14" t="inlineStr">
        <is>
          <t>P04</t>
        </is>
      </c>
      <c r="B5" s="14" t="inlineStr">
        <is>
          <t>CaMeL</t>
        </is>
      </c>
      <c r="C5" s="14" t="inlineStr">
        <is>
          <t>Defeating Prompt Injections by Design</t>
        </is>
      </c>
      <c r="D5" s="14" t="inlineStr">
        <is>
          <t>Debenedetti</t>
        </is>
      </c>
      <c r="E5" s="14" t="inlineStr">
        <is>
          <t>Edoardo Debenedetti, Ilia Shumailov, Tianqi Fan, Jamie Hayes, Nicholas Carlini, Daniel Fabian, Christoph Kern, Chongyang Shi, Andreas Terzis, Florian Tramèr</t>
        </is>
      </c>
      <c r="F5" s="14" t="inlineStr">
        <is>
          <t>2025</t>
        </is>
      </c>
      <c r="G5" s="14" t="inlineStr">
        <is>
          <t>not printed on this copy</t>
        </is>
      </c>
      <c r="H5" s="14" t="inlineStr">
        <is>
          <t>arXiv:2503.18813v2 [cs.CR], 24 Jun 2025</t>
        </is>
      </c>
      <c r="I5" s="14" t="inlineStr">
        <is>
          <t>Preprint (as downloaded)</t>
        </is>
      </c>
      <c r="J5" s="14" t="inlineStr">
        <is>
          <t>debenedetti_et_al_2025_defeating_prompt_injections_by_design.pdf</t>
        </is>
      </c>
      <c r="K5" s="15" t="n"/>
      <c r="L5" s="15" t="inlineStr">
        <is>
          <t>Defense</t>
        </is>
      </c>
      <c r="M5" s="15" t="inlineStr">
        <is>
          <t>Tool output (indirect, at runtime)</t>
        </is>
      </c>
      <c r="N5" s="15" t="inlineStr">
        <is>
          <t>Attacker shares a crafted document, email, or spreadsheet that the agent later retrieves through a tool</t>
        </is>
      </c>
      <c r="O5" s="15" t="inlineStr">
        <is>
          <t>Attacker controls untrusted data sources the agent reads; the user query is trusted; underlying LLM may itself be fully susceptible to injection (Sec. 3, 'Threat Model')</t>
        </is>
      </c>
      <c r="P5" s="15" t="inlineStr">
        <is>
          <t>Multiple (note which)</t>
        </is>
      </c>
      <c r="Q5" s="15" t="inlineStr">
        <is>
          <t>Instruction injection</t>
        </is>
      </c>
      <c r="R5" s="15" t="inlineStr">
        <is>
          <t>Runtime policy / capability enforcement</t>
        </is>
      </c>
      <c r="S5" s="15" t="inlineStr">
        <is>
          <t>Orchestrator / runtime</t>
        </is>
      </c>
      <c r="T5" s="15" t="inlineStr">
        <is>
          <t>User query trusted (control and data flow extracted from it); every tool output untrusted; capabilities attached to values; policies enforced in a custom Python interpreter; no change to the LLM</t>
        </is>
      </c>
      <c r="U5" s="15" t="inlineStr">
        <is>
          <t>AgentDojo</t>
        </is>
      </c>
      <c r="V5" s="15" t="inlineStr">
        <is>
          <t>Utility / task success</t>
        </is>
      </c>
      <c r="W5" s="15" t="inlineStr">
        <is>
          <t>Solves 77% of AgentDojo tasks with provable security vs 84% for the undefended system (abstract)</t>
        </is>
      </c>
      <c r="X5" s="15" t="inlineStr">
        <is>
          <t>No</t>
        </is>
      </c>
      <c r="Y5" s="15" t="inlineStr">
        <is>
          <t>High</t>
        </is>
      </c>
      <c r="Z5" s="15" t="inlineStr">
        <is>
          <t>Fits frame</t>
        </is>
      </c>
      <c r="AA5" s="15" t="inlineStr">
        <is>
          <t>Claude (draft; verify)</t>
        </is>
      </c>
      <c r="AB5" s="15" t="inlineStr">
        <is>
          <t>2026-09-12</t>
        </is>
      </c>
      <c r="AC5" s="15" t="inlineStr">
        <is>
          <t>Objectives addressed: control-flow hijack and data exfiltration via unauthorized data flows. Explicitly draws on CFI, access control, and information-flow control. Also fits 'Architectural isolation'; coded to the enforcement mechanism.</t>
        </is>
      </c>
    </row>
    <row r="6" ht="150" customHeight="1">
      <c r="A6" s="14" t="inlineStr">
        <is>
          <t>P05</t>
        </is>
      </c>
      <c r="B6" s="14" t="inlineStr">
        <is>
          <t>When Benchmarks Lie</t>
        </is>
      </c>
      <c r="C6" s="14" t="inlineStr">
        <is>
          <t>When Benchmarks Lie: Evaluating Malicious Prompt Classifiers Under True Distribution Shift</t>
        </is>
      </c>
      <c r="D6" s="14" t="inlineStr">
        <is>
          <t>Fomin</t>
        </is>
      </c>
      <c r="E6" s="14" t="inlineStr">
        <is>
          <t>Max Fomin</t>
        </is>
      </c>
      <c r="F6" s="14" t="inlineStr">
        <is>
          <t>2026</t>
        </is>
      </c>
      <c r="G6" s="14" t="inlineStr">
        <is>
          <t>AIWILD workshop at ICLR 2026 (footer, p. 1)</t>
        </is>
      </c>
      <c r="H6" s="14" t="inlineStr">
        <is>
          <t>arXiv:2602.14161v2 [cs.LG], 19 Jul 2026</t>
        </is>
      </c>
      <c r="I6" s="14" t="inlineStr">
        <is>
          <t>Workshop (arXiv copy)</t>
        </is>
      </c>
      <c r="J6" s="14" t="inlineStr">
        <is>
          <t>fomin_2026_when_benchmarks_lie_evaluating_malicious_prompt_classifiers_under_true_distribution_shifts.pdf</t>
        </is>
      </c>
      <c r="K6" s="15" t="n"/>
      <c r="L6" s="15" t="inlineStr">
        <is>
          <t>Evaluation methodology</t>
        </is>
      </c>
      <c r="M6" s="15" t="inlineStr">
        <is>
          <t>Multiple (note which)</t>
        </is>
      </c>
      <c r="N6" s="15" t="inlineStr">
        <is>
          <t>Not an attack paper: evaluates classifiers over pooled prompt-attack datasets (jailbreaks, indirect injection, harmful requests, benign)</t>
        </is>
      </c>
      <c r="O6" s="15" t="inlineStr">
        <is>
          <t>Detector is trained on N-1 datasets and tested on a dataset never seen in training (Leave-One-Dataset-Out); question is whether classifiers learn attack semantics or dataset identity (Sec. 1)</t>
        </is>
      </c>
      <c r="P6" s="15" t="inlineStr">
        <is>
          <t>Multiple (note which)</t>
        </is>
      </c>
      <c r="Q6" s="15" t="inlineStr">
        <is>
          <t>Instruction injection</t>
        </is>
      </c>
      <c r="R6" s="15" t="inlineStr">
        <is>
          <t>Detection (classifier / probe)</t>
        </is>
      </c>
      <c r="S6" s="15" t="inlineStr">
        <is>
          <t>Prompt / input layer</t>
        </is>
      </c>
      <c r="T6" s="15" t="inlineStr">
        <is>
          <t>N/A: evaluation protocol paper; assumes deployment traffic comes from distributions unlike the training benchmarks</t>
        </is>
      </c>
      <c r="U6" s="15" t="inlineStr">
        <is>
          <t>18 datasets, 105K samples; LODO vs standard cross-validation; compared against PromptGuard 2, LlamaGuard, ProtectAI, Deepset (Sec. 1)</t>
        </is>
      </c>
      <c r="V6" s="15" t="inlineStr">
        <is>
          <t>AUROC</t>
        </is>
      </c>
      <c r="W6" s="15" t="inlineStr">
        <is>
          <t>Standard CV reports pooled AUC 8.0-16.5 points higher than LODO across four LLMs; per-dataset gaps 1-25 points; 28-44% of top SAE features are dataset shortcuts (abstract)</t>
        </is>
      </c>
      <c r="X6" s="15" t="inlineStr">
        <is>
          <t>No</t>
        </is>
      </c>
      <c r="Y6" s="15" t="inlineStr">
        <is>
          <t>High</t>
        </is>
      </c>
      <c r="Z6" s="15" t="inlineStr">
        <is>
          <t>Needs new dimension (note)</t>
        </is>
      </c>
      <c r="AA6" s="15" t="inlineStr">
        <is>
          <t>Claude (draft; verify)</t>
        </is>
      </c>
      <c r="AB6" s="15" t="inlineStr">
        <is>
          <t>2026-09-12</t>
        </is>
      </c>
      <c r="AC6" s="15" t="inlineStr">
        <is>
          <t>Does not fit the attack/defense cells: it is about how detectors are evaluated. Suggests adding an 'Evaluation protocol' column (in-distribution split vs held-out dataset vs held-out surface). Directly relevant to any LOSO/LOFO design in our project. Venue footer says AIWILD workshop at ICLR 2026. Payload (draft): pooled datasets also include jailbreaks and harmful requests, which are direct prompts rather than injected payloads.</t>
        </is>
      </c>
    </row>
    <row r="7" ht="150" customHeight="1">
      <c r="A7" s="14" t="inlineStr">
        <is>
          <t>P06</t>
        </is>
      </c>
      <c r="B7" s="14" t="inlineStr">
        <is>
          <t>Greshake (indirect PI)</t>
        </is>
      </c>
      <c r="C7" s="14" t="inlineStr">
        <is>
          <t>Not What You've Signed Up For: Compromising Real-World LLM-Integrated Applications with Indirect Prompt Injection</t>
        </is>
      </c>
      <c r="D7" s="14" t="inlineStr">
        <is>
          <t>Greshake</t>
        </is>
      </c>
      <c r="E7" s="14" t="inlineStr">
        <is>
          <t>Kai Greshake, Sahar Abdelnabi, Shailesh Mishra, Christoph Endres, Thorsten Holz, Mario Fritz</t>
        </is>
      </c>
      <c r="F7" s="14" t="inlineStr">
        <is>
          <t>2023</t>
        </is>
      </c>
      <c r="G7" s="14" t="inlineStr">
        <is>
          <t>AISec '23 (16th ACM Workshop on AI and Security), Copenhagen; doi 10.1145/3605764.3623985</t>
        </is>
      </c>
      <c r="H7" s="14" t="inlineStr">
        <is>
          <t>not printed on this copy</t>
        </is>
      </c>
      <c r="I7" s="14" t="inlineStr">
        <is>
          <t>Peer-reviewed workshop</t>
        </is>
      </c>
      <c r="J7" s="14" t="inlineStr">
        <is>
          <t>greshake_et_al_not_what_you_have_signed_up_for_compromising_real_world_LLM.pdf</t>
        </is>
      </c>
      <c r="K7" s="15" t="n"/>
      <c r="L7" s="15" t="inlineStr">
        <is>
          <t>Mixed (note which)</t>
        </is>
      </c>
      <c r="M7" s="15" t="inlineStr">
        <is>
          <t>Multiple (note which)</t>
        </is>
      </c>
      <c r="N7" s="15" t="inlineStr">
        <is>
          <t>Remote attacker plants instructions in data likely to be retrieved at inference time (web pages, emails, code repositories) without any direct interface to the application</t>
        </is>
      </c>
      <c r="O7" s="15" t="inlineStr">
        <is>
          <t>Only assumes the ability to remotely poison potential model input at inference time; plain-English payloads; no surrogate models, no control over or white-box knowledge of the target model (Sec. 3, 'Assumptions')</t>
        </is>
      </c>
      <c r="P7" s="15" t="inlineStr">
        <is>
          <t>Multiple (note which)</t>
        </is>
      </c>
      <c r="Q7" s="15" t="inlineStr">
        <is>
          <t>Instruction injection</t>
        </is>
      </c>
      <c r="R7" s="15" t="inlineStr">
        <is>
          <t>N/A (attack- or benchmark-only)</t>
        </is>
      </c>
      <c r="S7" s="15" t="inlineStr">
        <is>
          <t>N/A</t>
        </is>
      </c>
      <c r="T7" s="15" t="inlineStr">
        <is>
          <t>Shows LLM-integrated apps blur the line between data and instructions; retrieved content is effectively executed</t>
        </is>
      </c>
      <c r="U7" s="15" t="inlineStr">
        <is>
          <t>No benchmark; demonstrations on Bing Chat, code-completion engines, and GPT-4 synthetic applications (abstract)</t>
        </is>
      </c>
      <c r="V7" s="15" t="inlineStr">
        <is>
          <t>Other (note)</t>
        </is>
      </c>
      <c r="W7" s="15" t="inlineStr">
        <is>
          <t>Qualitative demonstrations only; no headline rate. Contribution is the taxonomy of injection methods and impacts (data theft, worming, information-ecosystem contamination, manipulation, availability)</t>
        </is>
      </c>
      <c r="X7" s="15" t="inlineStr">
        <is>
          <t>No</t>
        </is>
      </c>
      <c r="Y7" s="15" t="inlineStr">
        <is>
          <t>High</t>
        </is>
      </c>
      <c r="Z7" s="15" t="inlineStr">
        <is>
          <t>Fits frame</t>
        </is>
      </c>
      <c r="AA7" s="15" t="inlineStr">
        <is>
          <t>Claude (draft; verify)</t>
        </is>
      </c>
      <c r="AB7" s="15" t="inlineStr">
        <is>
          <t>2026-09-12</t>
        </is>
      </c>
      <c r="AC7" s="15" t="inlineStr">
        <is>
          <t>Mixed = taxonomy + attack demonstrations. This is the taxonomy paper to reconcile the frame against first. Coined 'indirect prompt injection'. Payload (draft): misinformation and manipulation impacts are reached through injected instructions.</t>
        </is>
      </c>
    </row>
    <row r="8" ht="150" customHeight="1">
      <c r="A8" s="14" t="inlineStr">
        <is>
          <t>P07</t>
        </is>
      </c>
      <c r="B8" s="14" t="inlineStr">
        <is>
          <t>Spotlighting</t>
        </is>
      </c>
      <c r="C8" s="14" t="inlineStr">
        <is>
          <t>Defending Against Indirect Prompt Injection Attacks With Spotlighting</t>
        </is>
      </c>
      <c r="D8" s="14" t="inlineStr">
        <is>
          <t>Hines</t>
        </is>
      </c>
      <c r="E8" s="14" t="inlineStr">
        <is>
          <t>Keegan Hines, Gary Lopez, Matthew Hall, Federico Zarfati, Yonatan Zunger, Emre Kıcıman</t>
        </is>
      </c>
      <c r="F8" s="14" t="inlineStr">
        <is>
          <t>2024</t>
        </is>
      </c>
      <c r="G8" s="14" t="inlineStr">
        <is>
          <t>CAMLIS '24 (Conference on Applied ML for Information Security), Arlington VA; CEUR workshop proceedings</t>
        </is>
      </c>
      <c r="H8" s="14" t="inlineStr">
        <is>
          <t>not printed on this copy</t>
        </is>
      </c>
      <c r="I8" s="14" t="inlineStr">
        <is>
          <t>Peer-reviewed workshop</t>
        </is>
      </c>
      <c r="J8" s="14" t="inlineStr">
        <is>
          <t>hines_et_al_2024_defending_against_indirect_prompt_injection_with_spotlighting.pdf</t>
        </is>
      </c>
      <c r="K8" s="15" t="n"/>
      <c r="L8" s="15" t="inlineStr">
        <is>
          <t>Defense</t>
        </is>
      </c>
      <c r="M8" s="15" t="inlineStr">
        <is>
          <t>Tool output (indirect, at runtime)</t>
        </is>
      </c>
      <c r="N8" s="15" t="inlineStr">
        <is>
          <t>Attacker embeds instructions in external documents (e.g., websites) the LLM processes alongside user commands; user is an unaware bystander</t>
        </is>
      </c>
      <c r="O8" s="15" t="inlineStr">
        <is>
          <t>Black-box; attacker controls the content of an untrusted document; defense operates only through the system prompt (Sec. 1)</t>
        </is>
      </c>
      <c r="P8" s="15" t="inlineStr">
        <is>
          <t>Task hijack (unauthorised action)</t>
        </is>
      </c>
      <c r="Q8" s="15" t="inlineStr">
        <is>
          <t>Instruction injection</t>
        </is>
      </c>
      <c r="R8" s="15" t="inlineStr">
        <is>
          <t>Input transformation / prompting</t>
        </is>
      </c>
      <c r="S8" s="15" t="inlineStr">
        <is>
          <t>Prompt / input layer</t>
        </is>
      </c>
      <c r="T8" s="15" t="inlineStr">
        <is>
          <t>System prompt and user command trusted; every external input block is marked or transformed so the model can tell provenance</t>
        </is>
      </c>
      <c r="U8" s="15" t="inlineStr">
        <is>
          <t>Own synthetic corpus of 1,000 documents containing injections; NLP task benchmarks for utility (Sec. 4)</t>
        </is>
      </c>
      <c r="V8" s="15" t="inlineStr">
        <is>
          <t>ASR (attack success rate)</t>
        </is>
      </c>
      <c r="W8" s="15" t="inlineStr">
        <is>
          <t>Reduces ASR from &gt;50% to &lt;2% on GPT-family models with minimal task impact (abstract)</t>
        </is>
      </c>
      <c r="X8" s="15" t="inlineStr">
        <is>
          <t>No</t>
        </is>
      </c>
      <c r="Y8" s="15" t="inlineStr">
        <is>
          <t>Medium</t>
        </is>
      </c>
      <c r="Z8" s="15" t="inlineStr">
        <is>
          <t>Fits frame</t>
        </is>
      </c>
      <c r="AA8" s="15" t="inlineStr">
        <is>
          <t>Claude (draft; verify)</t>
        </is>
      </c>
      <c r="AB8" s="15" t="inlineStr">
        <is>
          <t>2026-09-12</t>
        </is>
      </c>
      <c r="AC8" s="15" t="inlineStr">
        <is>
          <t>Three instantiations: delimiting, datamarking, encoding. Cheap baseline defense; AgentDojo includes a variant.</t>
        </is>
      </c>
    </row>
    <row r="9" ht="150" customHeight="1">
      <c r="A9" s="14" t="inlineStr">
        <is>
          <t>P08</t>
        </is>
      </c>
      <c r="B9" s="14" t="inlineStr">
        <is>
          <t>PromptShield</t>
        </is>
      </c>
      <c r="C9" s="14" t="inlineStr">
        <is>
          <t>PromptShield: Deployable Detection for Prompt Injection Attacks</t>
        </is>
      </c>
      <c r="D9" s="14" t="inlineStr">
        <is>
          <t>Jacob</t>
        </is>
      </c>
      <c r="E9" s="14" t="inlineStr">
        <is>
          <t>Dennis Jacob, Hend Alzahrani, Zhanhao Hu, Basel Alomair, David Wagner</t>
        </is>
      </c>
      <c r="F9" s="14" t="inlineStr">
        <is>
          <t>2025</t>
        </is>
      </c>
      <c r="G9" s="14" t="inlineStr">
        <is>
          <t>not printed on this copy</t>
        </is>
      </c>
      <c r="H9" s="14" t="inlineStr">
        <is>
          <t>arXiv:2501.15145v2 [cs.CR], 12 Apr 2025</t>
        </is>
      </c>
      <c r="I9" s="14" t="inlineStr">
        <is>
          <t>Preprint (as downloaded)</t>
        </is>
      </c>
      <c r="J9" s="14" t="inlineStr">
        <is>
          <t>jacob_et_al_promptshield_deployable_detection_for_prompt_injection.pdf</t>
        </is>
      </c>
      <c r="K9" s="15" t="n"/>
      <c r="L9" s="15" t="inlineStr">
        <is>
          <t>Mixed (note which)</t>
        </is>
      </c>
      <c r="M9" s="15" t="inlineStr">
        <is>
          <t>Multiple (note which)</t>
        </is>
      </c>
      <c r="N9" s="15" t="inlineStr">
        <is>
          <t>Adversary controls part of the data an LLM-integrated application processes (application-structured data); conversational chatbot data assumed injection-free</t>
        </is>
      </c>
      <c r="O9" s="15" t="inlineStr">
        <is>
          <t>Black-box; deployment framing with the base-rate problem: benign traffic dominates, so the detector must run at very low FPR (Sec. 1)</t>
        </is>
      </c>
      <c r="P9" s="15" t="inlineStr">
        <is>
          <t>Task hijack (unauthorised action)</t>
        </is>
      </c>
      <c r="Q9" s="15" t="inlineStr">
        <is>
          <t>Instruction injection</t>
        </is>
      </c>
      <c r="R9" s="15" t="inlineStr">
        <is>
          <t>Detection (classifier / probe)</t>
        </is>
      </c>
      <c r="S9" s="15" t="inlineStr">
        <is>
          <t>Prompt / input layer</t>
        </is>
      </c>
      <c r="T9" s="15" t="inlineStr">
        <is>
          <t>Conversational data treated as trusted (a user is unlikely to attack themselves); application-structured data untrusted</t>
        </is>
      </c>
      <c r="U9" s="15" t="inlineStr">
        <is>
          <t>PromptShield benchmark (own curation of conversational and application-structured data)</t>
        </is>
      </c>
      <c r="V9" s="15" t="inlineStr">
        <is>
          <t>FPR / FNR / TPR</t>
        </is>
      </c>
      <c r="W9" s="15" t="inlineStr">
        <is>
          <t>Detector reaches 65.3% TPR at 0.1% FPR vs 9.4% for the best prior scheme (Sec. 1 and Fig. 2)</t>
        </is>
      </c>
      <c r="X9" s="15" t="inlineStr">
        <is>
          <t>No</t>
        </is>
      </c>
      <c r="Y9" s="15" t="inlineStr">
        <is>
          <t>High</t>
        </is>
      </c>
      <c r="Z9" s="15" t="inlineStr">
        <is>
          <t>Fits frame</t>
        </is>
      </c>
      <c r="AA9" s="15" t="inlineStr">
        <is>
          <t>Claude (draft; verify)</t>
        </is>
      </c>
      <c r="AB9" s="15" t="inlineStr">
        <is>
          <t>2026-09-12</t>
        </is>
      </c>
      <c r="AC9" s="15" t="inlineStr">
        <is>
          <t>Mixed = benchmark + fine-tuned detector. The low-FPR evaluation regime is the one our detector work should adopt. Distinguishes prompt injection from jailbreaks.</t>
        </is>
      </c>
    </row>
    <row r="10" ht="150" customHeight="1">
      <c r="A10" s="14" t="inlineStr">
        <is>
          <t>P09</t>
        </is>
      </c>
      <c r="B10" s="14" t="inlineStr">
        <is>
          <t>Liu (formalizing PI)</t>
        </is>
      </c>
      <c r="C10" s="14" t="inlineStr">
        <is>
          <t>Formalizing and Benchmarking Prompt Injection Attacks and Defenses</t>
        </is>
      </c>
      <c r="D10" s="14" t="inlineStr">
        <is>
          <t>Liu</t>
        </is>
      </c>
      <c r="E10" s="14" t="inlineStr">
        <is>
          <t>Yupei Liu, Yuqi Jia, Runpeng Geng, Jinyuan Jia, Neil Zhenqiang Gong</t>
        </is>
      </c>
      <c r="F10" s="16" t="inlineStr">
        <is>
          <t>UNVERIFIED</t>
        </is>
      </c>
      <c r="G10" s="16" t="inlineStr">
        <is>
          <t>UNVERIFIED: no venue, year, or arXiv stamp on this copy</t>
        </is>
      </c>
      <c r="H10" s="14" t="inlineStr">
        <is>
          <t>not printed on this copy</t>
        </is>
      </c>
      <c r="I10" s="16" t="inlineStr">
        <is>
          <t>UNVERIFIED</t>
        </is>
      </c>
      <c r="J10" s="14" t="inlineStr">
        <is>
          <t>liu_et_al_formalizing_and_benchmarking_prompt_injection_attacks_defenses.pdf</t>
        </is>
      </c>
      <c r="K10" s="15" t="n"/>
      <c r="L10" s="15" t="inlineStr">
        <is>
          <t>Mixed (note which)</t>
        </is>
      </c>
      <c r="M10" s="15" t="inlineStr">
        <is>
          <t>Multiple (note which)</t>
        </is>
      </c>
      <c r="N10" s="15" t="inlineStr">
        <is>
          <t>Attacker controls the data an LLM-integrated application processes (e.g., a resume, a web page); the instruction prompt is the application's</t>
        </is>
      </c>
      <c r="O10" s="15" t="inlineStr">
        <is>
          <t>Formalizes attacker goal, background knowledge, and capabilities: attacker crafts compromised data to make the app perform an injected task; backend LLM integrity assumed; see Sec. 3 for the exact knowledge assumptions</t>
        </is>
      </c>
      <c r="P10" s="15" t="inlineStr">
        <is>
          <t>Task hijack (unauthorised action)</t>
        </is>
      </c>
      <c r="Q10" s="15" t="inlineStr">
        <is>
          <t>Instruction injection</t>
        </is>
      </c>
      <c r="R10" s="15" t="inlineStr">
        <is>
          <t>N/A (attack- or benchmark-only)</t>
        </is>
      </c>
      <c r="S10" s="15" t="inlineStr">
        <is>
          <t>N/A</t>
        </is>
      </c>
      <c r="T10" s="15" t="inlineStr">
        <is>
          <t>Instruction prompt trusted, data untrusted; existing attacks are special cases of the framework</t>
        </is>
      </c>
      <c r="U10" s="15" t="inlineStr">
        <is>
          <t>Open-Prompt-Injection: 5 attacks, 10 defenses, 10 LLMs, 7 tasks (abstract)</t>
        </is>
      </c>
      <c r="V10" s="15" t="inlineStr">
        <is>
          <t>ASR (attack success rate)</t>
        </is>
      </c>
      <c r="W10" s="15" t="inlineStr">
        <is>
          <t>Combined Attack (framework-derived) is the most effective attack (Sec. 6, Table 6b); no evaluated defense is sufficient (Sec. 1). Paper's metric is named attack success score (ASS)</t>
        </is>
      </c>
      <c r="X10" s="15" t="inlineStr">
        <is>
          <t>No</t>
        </is>
      </c>
      <c r="Y10" s="15" t="inlineStr">
        <is>
          <t>High</t>
        </is>
      </c>
      <c r="Z10" s="15" t="inlineStr">
        <is>
          <t>Fits frame</t>
        </is>
      </c>
      <c r="AA10" s="15" t="inlineStr">
        <is>
          <t>Claude (draft; verify)</t>
        </is>
      </c>
      <c r="AB10" s="15" t="inlineStr">
        <is>
          <t>2026-09-12</t>
        </is>
      </c>
      <c r="AC10" s="15" t="inlineStr">
        <is>
          <t>Mixed = formal framework + benchmark + new attack. Second taxonomy paper for the frame. Evaluates prevention and detection defenses incl. known-answer detection. Venue/year UNVERIFIED on this copy.</t>
        </is>
      </c>
    </row>
    <row r="11" ht="150" customHeight="1">
      <c r="A11" s="14" t="inlineStr">
        <is>
          <t>P10</t>
        </is>
      </c>
      <c r="B11" s="14" t="inlineStr">
        <is>
          <t>Jatmo</t>
        </is>
      </c>
      <c r="C11" s="14" t="inlineStr">
        <is>
          <t>Jatmo: Prompt Injection Defense by Task-Specific Finetuning</t>
        </is>
      </c>
      <c r="D11" s="14" t="inlineStr">
        <is>
          <t>Piet</t>
        </is>
      </c>
      <c r="E11" s="14" t="inlineStr">
        <is>
          <t>Julien Piet, Maha Alrashed, Chawin Sitawarin, Sizhe Chen, Zeming Wei, Elizabeth Sun, Basel Alomair, David Wagner</t>
        </is>
      </c>
      <c r="F11" s="14" t="inlineStr">
        <is>
          <t>2024</t>
        </is>
      </c>
      <c r="G11" s="14" t="inlineStr">
        <is>
          <t>not printed on this copy</t>
        </is>
      </c>
      <c r="H11" s="14" t="inlineStr">
        <is>
          <t>arXiv:2312.17673v2 [cs.CR], 8 Jan 2024</t>
        </is>
      </c>
      <c r="I11" s="14" t="inlineStr">
        <is>
          <t>Preprint (as downloaded)</t>
        </is>
      </c>
      <c r="J11" s="14" t="inlineStr">
        <is>
          <t>piet_at_al_2026_jatmo_2024_prompt_injection_defense_task_specific_finetuning.pdf</t>
        </is>
      </c>
      <c r="K11" s="15" t="n"/>
      <c r="L11" s="15" t="inlineStr">
        <is>
          <t>Defense</t>
        </is>
      </c>
      <c r="M11" s="15" t="inlineStr">
        <is>
          <t>Multiple (note which)</t>
        </is>
      </c>
      <c r="N11" s="15" t="inlineStr">
        <is>
          <t>Attacker has full control of the input data to a single-task LLM application</t>
        </is>
      </c>
      <c r="O11" s="15" t="inlineStr">
        <is>
          <t>Attacker assumed to have full control of the input data (Sec. 3, 'Threat model'); black-box w.r.t. the fine-tuned model</t>
        </is>
      </c>
      <c r="P11" s="15" t="inlineStr">
        <is>
          <t>Task hijack (unauthorised action)</t>
        </is>
      </c>
      <c r="Q11" s="15" t="inlineStr">
        <is>
          <t>Instruction injection</t>
        </is>
      </c>
      <c r="R11" s="15" t="inlineStr">
        <is>
          <t>Training-time (fine-tune / alignment)</t>
        </is>
      </c>
      <c r="S11" s="15" t="inlineStr">
        <is>
          <t>Model weights</t>
        </is>
      </c>
      <c r="T11" s="15" t="inlineStr">
        <is>
          <t>Task prompt fixed by the developer; model is a non-instruction-tuned base fine-tuned on teacher outputs so it cannot follow instructions in data</t>
        </is>
      </c>
      <c r="U11" s="15" t="inlineStr">
        <is>
          <t>Seven tasks with teacher-generated datasets (abstract)</t>
        </is>
      </c>
      <c r="V11" s="15" t="inlineStr">
        <is>
          <t>ASR (attack success rate)</t>
        </is>
      </c>
      <c r="W11" s="15" t="inlineStr">
        <is>
          <t>Best attacks succeed in &lt;0.5% of cases vs 87% against GPT-3.5-Turbo (abstract)</t>
        </is>
      </c>
      <c r="X11" s="15" t="inlineStr">
        <is>
          <t>No</t>
        </is>
      </c>
      <c r="Y11" s="15" t="inlineStr">
        <is>
          <t>Low</t>
        </is>
      </c>
      <c r="Z11" s="15" t="inlineStr">
        <is>
          <t>Fits frame</t>
        </is>
      </c>
      <c r="AA11" s="15" t="inlineStr">
        <is>
          <t>Claude (draft; verify)</t>
        </is>
      </c>
      <c r="AB11" s="15" t="inlineStr">
        <is>
          <t>2026-09-12</t>
        </is>
      </c>
      <c r="AC11" s="15" t="inlineStr">
        <is>
          <t>Single-task models only; not applicable to general-purpose agents. Useful as the 'remove instruction-following' end of the defense spectrum.</t>
        </is>
      </c>
    </row>
    <row r="12" ht="150" customHeight="1">
      <c r="A12" s="14" t="inlineStr">
        <is>
          <t>P11</t>
        </is>
      </c>
      <c r="B12" s="14" t="inlineStr">
        <is>
          <t>RevPRAG</t>
        </is>
      </c>
      <c r="C12" s="14" t="inlineStr">
        <is>
          <t>RevPRAG: Revealing Poisoning Attacks in Retrieval-Augmented Generation through LLM Activation Analysis</t>
        </is>
      </c>
      <c r="D12" s="14" t="inlineStr">
        <is>
          <t>Tan</t>
        </is>
      </c>
      <c r="E12" s="14" t="inlineStr">
        <is>
          <t>Xue Tan, Hao Luan, Mingyu Luo, Xiaoyan Sun, Ping Chen, Jun Dai</t>
        </is>
      </c>
      <c r="F12" s="14" t="inlineStr">
        <is>
          <t>2025</t>
        </is>
      </c>
      <c r="G12" s="14" t="inlineStr">
        <is>
          <t>Findings of ACL: EMNLP 2025, pp. 12999–13011</t>
        </is>
      </c>
      <c r="H12" s="14" t="inlineStr">
        <is>
          <t>not printed on this copy</t>
        </is>
      </c>
      <c r="I12" s="14" t="inlineStr">
        <is>
          <t>Peer-reviewed conference (Findings)</t>
        </is>
      </c>
      <c r="J12" s="14" t="inlineStr">
        <is>
          <t>tan_et_al_2025_revprag_revealing_of_poisoning_attacks_in_retrieval_augmented_generation_through_LLM_activation_analysis.pdf</t>
        </is>
      </c>
      <c r="K12" s="15" t="n"/>
      <c r="L12" s="15" t="inlineStr">
        <is>
          <t>Defense</t>
        </is>
      </c>
      <c r="M12" s="15" t="inlineStr">
        <is>
          <t>RAG corpus / retriever</t>
        </is>
      </c>
      <c r="N12" s="15" t="inlineStr">
        <is>
          <t>Attacker injects poisoned texts into the public knowledge database a RAG system retrieves from</t>
        </is>
      </c>
      <c r="O12" s="15" t="inlineStr">
        <is>
          <t>Attacker injects m poisoned texts per target question; no knowledge of the LLM; white-box access to the retriever (Sec. 3.1)</t>
        </is>
      </c>
      <c r="P12" s="15" t="inlineStr">
        <is>
          <t>Misinformation / wrong answer</t>
        </is>
      </c>
      <c r="Q12" s="15" t="inlineStr">
        <is>
          <t>Content poisoning</t>
        </is>
      </c>
      <c r="R12" s="15" t="inlineStr">
        <is>
          <t>Detection (classifier / probe)</t>
        </is>
      </c>
      <c r="S12" s="15" t="inlineStr">
        <is>
          <t>Orchestrator / runtime</t>
        </is>
      </c>
      <c r="T12" s="15" t="inlineStr">
        <is>
          <t>LLM's own activations are trusted as a signal; a probe over hidden states separates poisoned from correct responses; no weight change</t>
        </is>
      </c>
      <c r="U12" s="15" t="inlineStr">
        <is>
          <t>Natural Questions, HotpotQA, MS-MARCO; multiple RAG architectures (Sec. 5)</t>
        </is>
      </c>
      <c r="V12" s="15" t="inlineStr">
        <is>
          <t>FPR / FNR / TPR</t>
        </is>
      </c>
      <c r="W12" s="15" t="inlineStr">
        <is>
          <t>98% true positive rate with false positive rate close to 1% (abstract)</t>
        </is>
      </c>
      <c r="X12" s="15" t="inlineStr">
        <is>
          <t>No</t>
        </is>
      </c>
      <c r="Y12" s="15" t="inlineStr">
        <is>
          <t>High</t>
        </is>
      </c>
      <c r="Z12" s="15" t="inlineStr">
        <is>
          <t>Fits frame</t>
        </is>
      </c>
      <c r="AA12" s="15" t="inlineStr">
        <is>
          <t>Claude (draft; verify)</t>
        </is>
      </c>
      <c r="AB12" s="15" t="inlineStr">
        <is>
          <t>2026-09-12</t>
        </is>
      </c>
      <c r="AC12" s="15" t="inlineStr">
        <is>
          <t>Activation-probe detection on the RAG surface; natural comparison point for a probe on the tool/MCP surface. Enforcement coded as runtime because the probe wraps inference rather than changing weights.</t>
        </is>
      </c>
    </row>
    <row r="13" ht="150" customHeight="1">
      <c r="A13" s="14" t="inlineStr">
        <is>
          <t>P12</t>
        </is>
      </c>
      <c r="B13" s="14" t="inlineStr">
        <is>
          <t>MCPTox</t>
        </is>
      </c>
      <c r="C13" s="14" t="inlineStr">
        <is>
          <t>MCPTox: A Benchmark for Tool Poisoning Attack on Real-World MCP Servers</t>
        </is>
      </c>
      <c r="D13" s="14" t="inlineStr">
        <is>
          <t>Wang</t>
        </is>
      </c>
      <c r="E13" s="14" t="inlineStr">
        <is>
          <t>Zhiqiang Wang, Yichao Gao, Yanting Wang, Suyuan Liu, Haifeng Sun, Haoran Cheng, Guanquan Shi, Haohua Du, Xiangyang Li</t>
        </is>
      </c>
      <c r="F13" s="14" t="inlineStr">
        <is>
          <t>2025</t>
        </is>
      </c>
      <c r="G13" s="14" t="inlineStr">
        <is>
          <t>not printed on this copy</t>
        </is>
      </c>
      <c r="H13" s="14" t="inlineStr">
        <is>
          <t>arXiv:2508.14925v1 [cs.CR], 19 Aug 2025</t>
        </is>
      </c>
      <c r="I13" s="14" t="inlineStr">
        <is>
          <t>Preprint (as downloaded)</t>
        </is>
      </c>
      <c r="J13" s="14" t="inlineStr">
        <is>
          <t>wang_et_al_mcptox_a_benchmark_for_tool_poisoning_attack.pdf</t>
        </is>
      </c>
      <c r="K13" s="15" t="n"/>
      <c r="L13" s="15" t="inlineStr">
        <is>
          <t>Benchmark / environment</t>
        </is>
      </c>
      <c r="M13" s="15" t="inlineStr">
        <is>
          <t>Tool description / metadata (MCP)</t>
        </is>
      </c>
      <c r="N13" s="15" t="inlineStr">
        <is>
          <t>Malicious MCP server author embeds instructions in a tool's description; payload enters the agent's context at registration, before any tool executes</t>
        </is>
      </c>
      <c r="O13" s="15" t="inlineStr">
        <is>
          <t>Attacker controls tool metadata only; no execution needed; three attack templates over 45 live servers and 353 real tools (abstract)</t>
        </is>
      </c>
      <c r="P13" s="15" t="inlineStr">
        <is>
          <t>Task hijack (unauthorised action)</t>
        </is>
      </c>
      <c r="Q13" s="15" t="inlineStr">
        <is>
          <t>Instruction injection</t>
        </is>
      </c>
      <c r="R13" s="15" t="inlineStr">
        <is>
          <t>N/A (attack- or benchmark-only)</t>
        </is>
      </c>
      <c r="S13" s="15" t="inlineStr">
        <is>
          <t>N/A</t>
        </is>
      </c>
      <c r="T13" s="15" t="inlineStr">
        <is>
          <t>Agents treat registered tool descriptions as trusted instructions</t>
        </is>
      </c>
      <c r="U13" s="15" t="inlineStr">
        <is>
          <t>MCPTox: 1,312 test cases, 10 risk categories, 20 LLM agents (abstract)</t>
        </is>
      </c>
      <c r="V13" s="15" t="inlineStr">
        <is>
          <t>ASR (attack success rate)</t>
        </is>
      </c>
      <c r="W13" s="15" t="inlineStr">
        <is>
          <t>o1-mini ASR 72.8%; highest refusal rate (Claude-3.7-Sonnet) under 3%; more capable models often more susceptible (abstract)</t>
        </is>
      </c>
      <c r="X13" s="15" t="inlineStr">
        <is>
          <t>Yes</t>
        </is>
      </c>
      <c r="Y13" s="15" t="inlineStr">
        <is>
          <t>High</t>
        </is>
      </c>
      <c r="Z13" s="15" t="inlineStr">
        <is>
          <t>Fits frame</t>
        </is>
      </c>
      <c r="AA13" s="15" t="inlineStr">
        <is>
          <t>Claude (draft; verify)</t>
        </is>
      </c>
      <c r="AB13" s="15" t="inlineStr">
        <is>
          <t>2026-09-12</t>
        </is>
      </c>
      <c r="AC13" s="15" t="inlineStr">
        <is>
          <t>Tool poisoning at registration time is a distinct surface from tool-output injection at runtime; keep the two separate in the frame. Repository link is anonymized (AAAI26 submission), so a published version may exist.</t>
        </is>
      </c>
    </row>
    <row r="14" ht="150" customHeight="1">
      <c r="A14" s="14" t="inlineStr">
        <is>
          <t>P13</t>
        </is>
      </c>
      <c r="B14" s="14" t="inlineStr">
        <is>
          <t>RobustRAG</t>
        </is>
      </c>
      <c r="C14" s="14" t="inlineStr">
        <is>
          <t>Certifiably Robust RAG against Retrieval Corruption</t>
        </is>
      </c>
      <c r="D14" s="14" t="inlineStr">
        <is>
          <t>Xiang</t>
        </is>
      </c>
      <c r="E14" s="14" t="inlineStr">
        <is>
          <t>Chong Xiang, Tong Wu, Zexuan Zhong, David Wagner, Danqi Chen, Prateek Mittal</t>
        </is>
      </c>
      <c r="F14" s="14" t="inlineStr">
        <is>
          <t>2024</t>
        </is>
      </c>
      <c r="G14" s="14" t="inlineStr">
        <is>
          <t>NextGenAISafety 2024 workshop at ICML 2024, Vienna</t>
        </is>
      </c>
      <c r="H14" s="14" t="inlineStr">
        <is>
          <t>not printed on this copy</t>
        </is>
      </c>
      <c r="I14" s="14" t="inlineStr">
        <is>
          <t>Workshop</t>
        </is>
      </c>
      <c r="J14" s="14" t="inlineStr">
        <is>
          <t>xiang_et_al_2024_certifiably_robust_RAG_against_retrieval_corruption.pdf</t>
        </is>
      </c>
      <c r="K14" s="15" t="n"/>
      <c r="L14" s="15" t="inlineStr">
        <is>
          <t>Defense</t>
        </is>
      </c>
      <c r="M14" s="15" t="inlineStr">
        <is>
          <t>RAG corpus / retriever</t>
        </is>
      </c>
      <c r="N14" s="15" t="inlineStr">
        <is>
          <t>Attacker injects malicious passages into the retrieved top-k results (corpus poisoning or content corruption)</t>
        </is>
      </c>
      <c r="O14" s="15" t="inlineStr">
        <is>
          <t>Up to k' of the top-k retrieved passages corrupted (k' &lt; k); attacker has full knowledge of the defense and can inject arbitrary content in any order (Sec. 1)</t>
        </is>
      </c>
      <c r="P14" s="15" t="inlineStr">
        <is>
          <t>Multiple (note which)</t>
        </is>
      </c>
      <c r="Q14" s="15" t="inlineStr">
        <is>
          <t>Both (note which)</t>
        </is>
      </c>
      <c r="R14" s="15" t="inlineStr">
        <is>
          <t>Certified / provable</t>
        </is>
      </c>
      <c r="S14" s="15" t="inlineStr">
        <is>
          <t>Orchestrator / runtime</t>
        </is>
      </c>
      <c r="T14" s="15" t="inlineStr">
        <is>
          <t>Majority of retrieved passages assumed benign; isolate-then-aggregate means one passage cannot influence responses computed from others</t>
        </is>
      </c>
      <c r="U14" s="15" t="inlineStr">
        <is>
          <t>RealtimeQA-MC, RealtimeQA, Natural Questions, Bio long-form generation (Sec. 5, Table 1)</t>
        </is>
      </c>
      <c r="V14" s="15" t="inlineStr">
        <is>
          <t>Certified accuracy</t>
        </is>
      </c>
      <c r="W14" s="15" t="inlineStr">
        <is>
          <t>Certifiable accuracy reported per dataset and model for k=10, k'=1 in Table 1 (values to be read from the table, not the abstract)</t>
        </is>
      </c>
      <c r="X14" s="15" t="inlineStr">
        <is>
          <t>No</t>
        </is>
      </c>
      <c r="Y14" s="15" t="inlineStr">
        <is>
          <t>Medium</t>
        </is>
      </c>
      <c r="Z14" s="15" t="inlineStr">
        <is>
          <t>Fits frame</t>
        </is>
      </c>
      <c r="AA14" s="15" t="inlineStr">
        <is>
          <t>Claude (draft; verify)</t>
        </is>
      </c>
      <c r="AB14" s="15" t="inlineStr">
        <is>
          <t>2026-09-12</t>
        </is>
      </c>
      <c r="AC14" s="15" t="inlineStr">
        <is>
          <t>Objectives covered: misinformation and instruction injection via corrupted passages. Only certified defense in the set; the certificate is for a bounded number of corrupted passages. Payload (draft): corrupted passages may carry injected instructions or false content; certificate covers both.</t>
        </is>
      </c>
    </row>
    <row r="15" ht="150" customHeight="1">
      <c r="A15" s="14" t="inlineStr">
        <is>
          <t>P14</t>
        </is>
      </c>
      <c r="B15" s="14" t="inlineStr">
        <is>
          <t>BIPIA</t>
        </is>
      </c>
      <c r="C15" s="14" t="inlineStr">
        <is>
          <t>Benchmarking and Defending Against Indirect Prompt Injection Attacks on Large Language Models</t>
        </is>
      </c>
      <c r="D15" s="14" t="inlineStr">
        <is>
          <t>Yi</t>
        </is>
      </c>
      <c r="E15" s="14" t="inlineStr">
        <is>
          <t>Jingwei Yi, Yueqi Xie, Bin Zhu, Emre Kiciman, Guangzhong Sun, Xing Xie, Fangzhao Wu</t>
        </is>
      </c>
      <c r="F15" s="14" t="inlineStr">
        <is>
          <t>2025</t>
        </is>
      </c>
      <c r="G15" s="14" t="inlineStr">
        <is>
          <t>KDD '25, Toronto; doi 10.1145/3690624.3709179 (p. 1)</t>
        </is>
      </c>
      <c r="H15" s="14" t="inlineStr">
        <is>
          <t>arXiv:2312.14197v4 [cs.CL], 27 Jan 2025</t>
        </is>
      </c>
      <c r="I15" s="14" t="inlineStr">
        <is>
          <t>Peer-reviewed conference (arXiv copy)</t>
        </is>
      </c>
      <c r="J15" s="14" t="inlineStr">
        <is>
          <t>yi_et_al_2025_benchmarking_and_defending_against_indirect_prompt_injection.pdf</t>
        </is>
      </c>
      <c r="K15" s="15" t="n"/>
      <c r="L15" s="15" t="inlineStr">
        <is>
          <t>Mixed (note which)</t>
        </is>
      </c>
      <c r="M15" s="15" t="inlineStr">
        <is>
          <t>Multiple (note which)</t>
        </is>
      </c>
      <c r="N15" s="15" t="inlineStr">
        <is>
          <t>Attacker embeds instructions in external content the LLM is asked to process (email, web QA, tables, summarization, code)</t>
        </is>
      </c>
      <c r="O15" s="15" t="inlineStr">
        <is>
          <t>Attacker controls external content; defenses evaluated in black-box (prompting) and white-box (fine-tuning) settings (abstract)</t>
        </is>
      </c>
      <c r="P15" s="15" t="inlineStr">
        <is>
          <t>Multiple (note which)</t>
        </is>
      </c>
      <c r="Q15" s="15" t="inlineStr">
        <is>
          <t>Instruction injection</t>
        </is>
      </c>
      <c r="R15" s="15" t="inlineStr">
        <is>
          <t>Input transformation / prompting</t>
        </is>
      </c>
      <c r="S15" s="15" t="inlineStr">
        <is>
          <t>Prompt / input layer</t>
        </is>
      </c>
      <c r="T15" s="15" t="inlineStr">
        <is>
          <t>Two failure causes named: LLMs cannot separate informational context from actionable instructions, and lack awareness not to execute instructions in external content</t>
        </is>
      </c>
      <c r="U15" s="15" t="inlineStr">
        <is>
          <t>BIPIA (own benchmark)</t>
        </is>
      </c>
      <c r="V15" s="15" t="inlineStr">
        <is>
          <t>ASR (attack success rate)</t>
        </is>
      </c>
      <c r="W15" s="15" t="inlineStr">
        <is>
          <t>Black-box defense gives substantial mitigation; white-box defense reduces ASR to near zero while preserving output quality (abstract)</t>
        </is>
      </c>
      <c r="X15" s="15" t="inlineStr">
        <is>
          <t>No</t>
        </is>
      </c>
      <c r="Y15" s="15" t="inlineStr">
        <is>
          <t>High</t>
        </is>
      </c>
      <c r="Z15" s="15" t="inlineStr">
        <is>
          <t>Fits frame</t>
        </is>
      </c>
      <c r="AA15" s="15" t="inlineStr">
        <is>
          <t>Claude (draft; verify)</t>
        </is>
      </c>
      <c r="AB15" s="15" t="inlineStr">
        <is>
          <t>2026-09-12</t>
        </is>
      </c>
      <c r="AC15" s="15" t="inlineStr">
        <is>
          <t>Mixed = benchmark + two defenses (boundary awareness, explicit reminder). White-box variant is training-time at the model; coded to the black-box prompting mechanism. Venue printed: KDD '25.</t>
        </is>
      </c>
    </row>
    <row r="16" ht="150" customHeight="1">
      <c r="A16" s="14" t="inlineStr">
        <is>
          <t>P15</t>
        </is>
      </c>
      <c r="B16" s="14" t="inlineStr">
        <is>
          <t>ToolHijacker</t>
        </is>
      </c>
      <c r="C16" s="14" t="inlineStr">
        <is>
          <t>Prompt Injection Attack to Tool Selection in LLM Agents</t>
        </is>
      </c>
      <c r="D16" s="14" t="inlineStr">
        <is>
          <t>Shi</t>
        </is>
      </c>
      <c r="E16" s="14" t="inlineStr">
        <is>
          <t>Jiawen Shi, Zenghui Yuan, Guiyao Tie, Pan Zhou, Neil Zhenqiang Gong, Lichao Sun</t>
        </is>
      </c>
      <c r="F16" s="14" t="inlineStr">
        <is>
          <t>2025</t>
        </is>
      </c>
      <c r="G16" s="14" t="inlineStr">
        <is>
          <t>NDSS 2026, San Diego; doi 10.14722/ndss.2026.230675 (p. 1)</t>
        </is>
      </c>
      <c r="H16" s="14" t="inlineStr">
        <is>
          <t>arXiv:2504.19793v3 [cs.CR], 24 Aug 2025</t>
        </is>
      </c>
      <c r="I16" s="14" t="inlineStr">
        <is>
          <t>Peer-reviewed conference (arXiv copy)</t>
        </is>
      </c>
      <c r="J16" s="14" t="inlineStr">
        <is>
          <t>yuan_2026_et_al_prompt_injection_attack_to_tool_selection_in_LLM_agents.pdf</t>
        </is>
      </c>
      <c r="K16" s="15" t="n"/>
      <c r="L16" s="15" t="inlineStr">
        <is>
          <t>Attack</t>
        </is>
      </c>
      <c r="M16" s="15" t="inlineStr">
        <is>
          <t>Tool description / metadata (MCP)</t>
        </is>
      </c>
      <c r="N16" s="15" t="inlineStr">
        <is>
          <t>Attacker publishes a malicious tool document into the tool library used by retrieval-then-selection tool choice</t>
        </is>
      </c>
      <c r="O16" s="15" t="inlineStr">
        <is>
          <t>No-box: no access to the target LLM, retriever, task descriptions, or tool library; attacker builds a shadow framework and optimizes the tool document against it (Sec. 1 and Sec. 4)</t>
        </is>
      </c>
      <c r="P16" s="15" t="inlineStr">
        <is>
          <t>Tool-selection manipulation</t>
        </is>
      </c>
      <c r="Q16" s="15" t="inlineStr">
        <is>
          <t>Both (note which)</t>
        </is>
      </c>
      <c r="R16" s="15" t="inlineStr">
        <is>
          <t>N/A (attack- or benchmark-only)</t>
        </is>
      </c>
      <c r="S16" s="15" t="inlineStr">
        <is>
          <t>N/A</t>
        </is>
      </c>
      <c r="T16" s="15" t="inlineStr">
        <is>
          <t>Tool documents in the library are treated as trusted by the retriever and the selecting LLM</t>
        </is>
      </c>
      <c r="U16" s="15" t="inlineStr">
        <is>
          <t>MetaTool and other tool-selection datasets; defenses evaluated: StruQ, SecAlign, known-answer detection, DataSentinel, perplexity and windowed perplexity detection (abstract)</t>
        </is>
      </c>
      <c r="V16" s="15" t="inlineStr">
        <is>
          <t>ASR (attack success rate)</t>
        </is>
      </c>
      <c r="W16" s="15" t="inlineStr">
        <is>
          <t>Gradient-free method reaches 96.7% ASR on MetaTool with Llama-3.3-70B as shadow and GPT-4o as target; 100% retrieval hit rate (Sec. 1)</t>
        </is>
      </c>
      <c r="X16" s="15" t="inlineStr">
        <is>
          <t>Partial</t>
        </is>
      </c>
      <c r="Y16" s="15" t="inlineStr">
        <is>
          <t>High</t>
        </is>
      </c>
      <c r="Z16" s="15" t="inlineStr">
        <is>
          <t>Fits frame</t>
        </is>
      </c>
      <c r="AA16" s="15" t="inlineStr">
        <is>
          <t>Claude (draft; verify)</t>
        </is>
      </c>
      <c r="AB16" s="15" t="inlineStr">
        <is>
          <t>2026-09-12</t>
        </is>
      </c>
      <c r="AC16" s="15" t="inlineStr">
        <is>
          <t>Evidence that existing prevention and detection defenses fail on tool documents. Surface coded as tool metadata; the paper studies generic tool libraries and mentions MCP but is not MCP-specific. Venue printed: NDSS 2026. Payload (draft): optimized tool document is persuasive content aimed at selection, not explicit commands; check Sec. 4 for whether the selection text issues instructions.</t>
        </is>
      </c>
    </row>
    <row r="17" ht="150" customHeight="1">
      <c r="A17" s="14" t="inlineStr">
        <is>
          <t>P16</t>
        </is>
      </c>
      <c r="B17" s="14" t="inlineStr">
        <is>
          <t>InjecAgent</t>
        </is>
      </c>
      <c r="C17" s="14" t="inlineStr">
        <is>
          <t>InjecAgent: Benchmarking Indirect Prompt Injections in Tool-Integrated Large Language Model Agents</t>
        </is>
      </c>
      <c r="D17" s="14" t="inlineStr">
        <is>
          <t>Zhan</t>
        </is>
      </c>
      <c r="E17" s="14" t="inlineStr">
        <is>
          <t>Qiusi Zhan, Zhixiang Liang, Zifan Ying, Daniel Kang</t>
        </is>
      </c>
      <c r="F17" s="14" t="inlineStr">
        <is>
          <t>2024</t>
        </is>
      </c>
      <c r="G17" s="14" t="inlineStr">
        <is>
          <t>not printed on this copy</t>
        </is>
      </c>
      <c r="H17" s="14" t="inlineStr">
        <is>
          <t>arXiv:2403.02691v3 [cs.CL], 4 Aug 2024</t>
        </is>
      </c>
      <c r="I17" s="14" t="inlineStr">
        <is>
          <t>Preprint (as downloaded)</t>
        </is>
      </c>
      <c r="J17" s="14" t="inlineStr">
        <is>
          <t>zhan_et_al_2024_injecagent_benchmarking_against_indirect_prompt_injections_in_tool_integrated_LLM_agents.pdf</t>
        </is>
      </c>
      <c r="K17" s="15" t="n"/>
      <c r="L17" s="15" t="inlineStr">
        <is>
          <t>Benchmark / environment</t>
        </is>
      </c>
      <c r="M17" s="15" t="inlineStr">
        <is>
          <t>Tool output (indirect, at runtime)</t>
        </is>
      </c>
      <c r="N17" s="15" t="inlineStr">
        <is>
          <t>Attacker places instructions in external content returned by a user tool (email, web page, product review) that the agent reads</t>
        </is>
      </c>
      <c r="O17" s="15" t="inlineStr">
        <is>
          <t>Attacker controls the content of an external resource; two settings, base and enhanced (instructions reinforced with a hacking prompt) (abstract)</t>
        </is>
      </c>
      <c r="P17" s="15" t="inlineStr">
        <is>
          <t>Multiple (note which)</t>
        </is>
      </c>
      <c r="Q17" s="15" t="inlineStr">
        <is>
          <t>Instruction injection</t>
        </is>
      </c>
      <c r="R17" s="15" t="inlineStr">
        <is>
          <t>N/A (attack- or benchmark-only)</t>
        </is>
      </c>
      <c r="S17" s="15" t="inlineStr">
        <is>
          <t>N/A</t>
        </is>
      </c>
      <c r="T17" s="15" t="inlineStr">
        <is>
          <t>Agent treats tool-returned content as trusted context</t>
        </is>
      </c>
      <c r="U17" s="15" t="inlineStr">
        <is>
          <t>InjecAgent: 1,054 test cases, 17 user tools, 62 attacker tools, 30 LLM agents (abstract)</t>
        </is>
      </c>
      <c r="V17" s="15" t="inlineStr">
        <is>
          <t>ASR (attack success rate)</t>
        </is>
      </c>
      <c r="W17" s="15" t="inlineStr">
        <is>
          <t>ReAct-prompted GPT-4 attacked successfully 24% of the time; enhanced setting nearly doubles that (abstract)</t>
        </is>
      </c>
      <c r="X17" s="15" t="inlineStr">
        <is>
          <t>No</t>
        </is>
      </c>
      <c r="Y17" s="15" t="inlineStr">
        <is>
          <t>High</t>
        </is>
      </c>
      <c r="Z17" s="15" t="inlineStr">
        <is>
          <t>Fits frame</t>
        </is>
      </c>
      <c r="AA17" s="15" t="inlineStr">
        <is>
          <t>Claude (draft; verify)</t>
        </is>
      </c>
      <c r="AB17" s="15" t="inlineStr">
        <is>
          <t>2026-09-12</t>
        </is>
      </c>
      <c r="AC17" s="15" t="inlineStr">
        <is>
          <t>Objectives: direct harm to users and exfiltration of private data. Finds fine-tuned agents more resilient than prompted agents (Sec. 1).</t>
        </is>
      </c>
    </row>
    <row r="18" ht="150" customHeight="1">
      <c r="A18" s="14" t="inlineStr">
        <is>
          <t>P17</t>
        </is>
      </c>
      <c r="B18" s="14" t="inlineStr">
        <is>
          <t>RAG traceback</t>
        </is>
      </c>
      <c r="C18" s="14" t="inlineStr">
        <is>
          <t>Traceback of Poisoning Attacks to Retrieval-Augmented Generation</t>
        </is>
      </c>
      <c r="D18" s="14" t="inlineStr">
        <is>
          <t>Zhang</t>
        </is>
      </c>
      <c r="E18" s="14" t="inlineStr">
        <is>
          <t>Baolei Zhang, Haoran Xin, Minghong Fang, Zhuqing Liu, Biao Yi, Tong Li, Zheli Liu</t>
        </is>
      </c>
      <c r="F18" s="14" t="inlineStr">
        <is>
          <t>2025</t>
        </is>
      </c>
      <c r="G18" s="14" t="inlineStr">
        <is>
          <t>WWW '25, Sydney (running footer)</t>
        </is>
      </c>
      <c r="H18" s="14" t="inlineStr">
        <is>
          <t>arXiv:2504.21668v2 [cs.CR], 18 Oct 2025</t>
        </is>
      </c>
      <c r="I18" s="14" t="inlineStr">
        <is>
          <t>Peer-reviewed conference (arXiv copy)</t>
        </is>
      </c>
      <c r="J18" s="14" t="inlineStr">
        <is>
          <t>zhang_et_al_2025_traceback_of_poisoning_attacks_to_retrieval_augmented_generation.pdf</t>
        </is>
      </c>
      <c r="K18" s="15" t="n"/>
      <c r="L18" s="15" t="inlineStr">
        <is>
          <t>Defense</t>
        </is>
      </c>
      <c r="M18" s="15" t="inlineStr">
        <is>
          <t>RAG corpus / retriever</t>
        </is>
      </c>
      <c r="N18" s="15" t="inlineStr">
        <is>
          <t>Attacker injects poisoned texts into the knowledge database; traceback runs post hoc over the database</t>
        </is>
      </c>
      <c r="O18" s="15" t="inlineStr">
        <is>
          <t>Strong attacker: full knowledge of database texts and direct access to retriever and LLM parameters; traceback operator owns the RAG system with full database access (Sec. 3, 'Threat Model')</t>
        </is>
      </c>
      <c r="P18" s="15" t="inlineStr">
        <is>
          <t>Misinformation / wrong answer</t>
        </is>
      </c>
      <c r="Q18" s="15" t="inlineStr">
        <is>
          <t>Content poisoning</t>
        </is>
      </c>
      <c r="R18" s="15" t="inlineStr">
        <is>
          <t>Forensics / traceback</t>
        </is>
      </c>
      <c r="S18" s="15" t="inlineStr">
        <is>
          <t>Retriever / index</t>
        </is>
      </c>
      <c r="T18" s="15" t="inlineStr">
        <is>
          <t>Defender trusted with the whole database; identifies which texts caused a reported bad response rather than blocking at inference</t>
        </is>
      </c>
      <c r="U18" s="15" t="inlineStr">
        <is>
          <t>Multiple datasets against state-of-the-art poisoning attacks incl. an adaptive attack (Sec. 5, Table 3)</t>
        </is>
      </c>
      <c r="V18" s="15" t="inlineStr">
        <is>
          <t>Other (note)</t>
        </is>
      </c>
      <c r="W18" s="15" t="inlineStr">
        <is>
          <t>High detection accuracy (DACC) with very low FPR and FNR incl. under the adaptive attack (Sec. 5 text near Table 3; read exact values from the table)</t>
        </is>
      </c>
      <c r="X18" s="15" t="inlineStr">
        <is>
          <t>No</t>
        </is>
      </c>
      <c r="Y18" s="15" t="inlineStr">
        <is>
          <t>Medium</t>
        </is>
      </c>
      <c r="Z18" s="15" t="inlineStr">
        <is>
          <t>Fits frame</t>
        </is>
      </c>
      <c r="AA18" s="15" t="inlineStr">
        <is>
          <t>Claude (draft; verify)</t>
        </is>
      </c>
      <c r="AB18" s="15" t="inlineStr">
        <is>
          <t>2026-09-12</t>
        </is>
      </c>
      <c r="AC18" s="15" t="inlineStr">
        <is>
          <t>Only forensic (after-the-fact) defense in the set; a distinct defense class from inference-time mitigation. Running footer: WWW '25.</t>
        </is>
      </c>
    </row>
    <row r="19" ht="150" customHeight="1">
      <c r="A19" s="14" t="inlineStr">
        <is>
          <t>P18</t>
        </is>
      </c>
      <c r="B19" s="14" t="inlineStr">
        <is>
          <t>MSB (MCP Security Bench)</t>
        </is>
      </c>
      <c r="C19" s="14" t="inlineStr">
        <is>
          <t>MCP Security Bench (MSB): Benchmarking Attacks Against Model Context Protocol in LLM Agents</t>
        </is>
      </c>
      <c r="D19" s="14" t="inlineStr">
        <is>
          <t>Zhang</t>
        </is>
      </c>
      <c r="E19" s="14" t="inlineStr">
        <is>
          <t>Dongsen Zhang, Zekun Li, Xu Luo, Xuannan Liu, Peipei Li, Wenjun Xu</t>
        </is>
      </c>
      <c r="F19" s="14" t="inlineStr">
        <is>
          <t>2026</t>
        </is>
      </c>
      <c r="G19" s="14" t="inlineStr">
        <is>
          <t>ICLR 2026 ("Published as a conference paper at ICLR 2026")</t>
        </is>
      </c>
      <c r="H19" s="14" t="inlineStr">
        <is>
          <t>arXiv:2510.15994v2 [cs.CR], 24 Mar 2026</t>
        </is>
      </c>
      <c r="I19" s="14" t="inlineStr">
        <is>
          <t>Peer-reviewed conference</t>
        </is>
      </c>
      <c r="J19" s="14" t="inlineStr">
        <is>
          <t>zhang_et_al_mcp_security_bench_benchmarking_attacks_against_model_context_protocol_in_LLM_agents.pdf</t>
        </is>
      </c>
      <c r="K19" s="15" t="n"/>
      <c r="L19" s="15" t="inlineStr">
        <is>
          <t>Benchmark / environment</t>
        </is>
      </c>
      <c r="M19" s="15" t="inlineStr">
        <is>
          <t>Multiple (note which)</t>
        </is>
      </c>
      <c r="N19" s="15" t="inlineStr">
        <is>
          <t>Malicious MCP servers and tools attack all three pipeline stages: tool signature (name collision, preference manipulation, description injection), tool parameters, tool response, and retrieval injection</t>
        </is>
      </c>
      <c r="O19" s="15" t="inlineStr">
        <is>
          <t>Attacker publishes malicious tools that actually execute via MCP alongside benign ones; 12 attack types (abstract, Fig. 1)</t>
        </is>
      </c>
      <c r="P19" s="15" t="inlineStr">
        <is>
          <t>Multiple (note which)</t>
        </is>
      </c>
      <c r="Q19" s="15" t="inlineStr">
        <is>
          <t>Both (note which)</t>
        </is>
      </c>
      <c r="R19" s="15" t="inlineStr">
        <is>
          <t>N/A (attack- or benchmark-only)</t>
        </is>
      </c>
      <c r="S19" s="15" t="inlineStr">
        <is>
          <t>N/A</t>
        </is>
      </c>
      <c r="T19" s="15" t="inlineStr">
        <is>
          <t>Agent trusts tool metadata, parameter schemas, and responses delivered over MCP</t>
        </is>
      </c>
      <c r="U19" s="15" t="inlineStr">
        <is>
          <t>MSB: 2,000 attack instances, 10 domains, 65 tasks, 405 tools (abstract)</t>
        </is>
      </c>
      <c r="V19" s="15" t="inlineStr">
        <is>
          <t>ASR (attack success rate)</t>
        </is>
      </c>
      <c r="W19" s="15" t="inlineStr">
        <is>
          <t>Peak ASR of 75.83% across evaluated backbones (Sec. 1); stronger models more vulnerable. Note: abstract says ten agents, Sec. 1 says 9 backbones; confirm before quoting</t>
        </is>
      </c>
      <c r="X19" s="15" t="inlineStr">
        <is>
          <t>Yes</t>
        </is>
      </c>
      <c r="Y19" s="15" t="inlineStr">
        <is>
          <t>High</t>
        </is>
      </c>
      <c r="Z19" s="15" t="inlineStr">
        <is>
          <t>Fits frame</t>
        </is>
      </c>
      <c r="AA19" s="15" t="inlineStr">
        <is>
          <t>Claude (draft; verify)</t>
        </is>
      </c>
      <c r="AB19" s="15" t="inlineStr">
        <is>
          <t>2026-09-12</t>
        </is>
      </c>
      <c r="AC19" s="15" t="inlineStr">
        <is>
          <t>Adds NRP = PUA x (1 - ASR) as a combined security/utility metric (Sec. 4). Surfaces span metadata, parameters, response, and retrieval; the broadest MCP taxonomy in the set. Venue printed: ICLR 2026. Payload (draft): description injection, false error and simulated user issue commands; name overlap and preference manipulation persuade without commands.</t>
        </is>
      </c>
    </row>
    <row r="20" ht="150" customHeight="1">
      <c r="A20" s="14" t="inlineStr">
        <is>
          <t>P19</t>
        </is>
      </c>
      <c r="B20" s="14" t="inlineStr">
        <is>
          <t>Adversarial passages</t>
        </is>
      </c>
      <c r="C20" s="14" t="inlineStr">
        <is>
          <t>Poisoning Retrieval Corpora by Injecting Adversarial Passages</t>
        </is>
      </c>
      <c r="D20" s="14" t="inlineStr">
        <is>
          <t>Zhong</t>
        </is>
      </c>
      <c r="E20" s="14" t="inlineStr">
        <is>
          <t>Zexuan Zhong, Ziqing Huang, Alexander Wettig, Danqi Chen</t>
        </is>
      </c>
      <c r="F20" s="14" t="inlineStr">
        <is>
          <t>2023</t>
        </is>
      </c>
      <c r="G20" s="14" t="inlineStr">
        <is>
          <t>not printed on this copy</t>
        </is>
      </c>
      <c r="H20" s="14" t="inlineStr">
        <is>
          <t>arXiv:2310.19156v1 [cs.CL], 29 Oct 2023</t>
        </is>
      </c>
      <c r="I20" s="14" t="inlineStr">
        <is>
          <t>Preprint (as downloaded)</t>
        </is>
      </c>
      <c r="J20" s="14" t="inlineStr">
        <is>
          <t>zhong_et_al_2023_poisoning_retrieval_corpora_by_injecting_adversarial_passages.pdf</t>
        </is>
      </c>
      <c r="K20" s="15" t="n"/>
      <c r="L20" s="15" t="inlineStr">
        <is>
          <t>Attack</t>
        </is>
      </c>
      <c r="M20" s="15" t="inlineStr">
        <is>
          <t>RAG corpus / retriever</t>
        </is>
      </c>
      <c r="N20" s="15" t="inlineStr">
        <is>
          <t>Malicious user inserts a small number of adversarial passages into a large retrieval corpus</t>
        </is>
      </c>
      <c r="O20" s="15" t="inlineStr">
        <is>
          <t>White-box access to the dense retriever (discrete token perturbation to maximize similarity with training queries); attacker does not see the test queries (abstract)</t>
        </is>
      </c>
      <c r="P20" s="15" t="inlineStr">
        <is>
          <t>Misinformation / wrong answer</t>
        </is>
      </c>
      <c r="Q20" s="15" t="inlineStr">
        <is>
          <t>Content poisoning</t>
        </is>
      </c>
      <c r="R20" s="15" t="inlineStr">
        <is>
          <t>N/A (attack- or benchmark-only)</t>
        </is>
      </c>
      <c r="S20" s="15" t="inlineStr">
        <is>
          <t>N/A</t>
        </is>
      </c>
      <c r="T20" s="15" t="inlineStr">
        <is>
          <t>Retriever treats every corpus passage as trustworthy</t>
        </is>
      </c>
      <c r="U20" s="15" t="inlineStr">
        <is>
          <t>Natural Questions for optimization; out-of-domain corpora (financial documents, online forums); range of dense retrievers (abstract)</t>
        </is>
      </c>
      <c r="V20" s="15" t="inlineStr">
        <is>
          <t>Other (note)</t>
        </is>
      </c>
      <c r="W20" s="15" t="inlineStr">
        <is>
          <t>50 passages optimized on NQ mislead &gt;94% of queries on financial or forum corpora; all tested retrievers attacked with up to 500 passages (abstract)</t>
        </is>
      </c>
      <c r="X20" s="15" t="inlineStr">
        <is>
          <t>No</t>
        </is>
      </c>
      <c r="Y20" s="15" t="inlineStr">
        <is>
          <t>Low</t>
        </is>
      </c>
      <c r="Z20" s="15" t="inlineStr">
        <is>
          <t>Fits frame</t>
        </is>
      </c>
      <c r="AA20" s="15" t="inlineStr">
        <is>
          <t>Claude (draft; verify)</t>
        </is>
      </c>
      <c r="AB20" s="15" t="inlineStr">
        <is>
          <t>2026-09-12</t>
        </is>
      </c>
      <c r="AC20" s="15" t="inlineStr">
        <is>
          <t>Retriever-level attack (success = adversarial passage retrieved), no LLM in the loop; objective coded as misinformation by consequence. Metric is retrieval success rate. Payload (draft): optimized passages target retrieval only; no instructions.</t>
        </is>
      </c>
    </row>
    <row r="21" ht="150" customHeight="1">
      <c r="A21" s="14" t="inlineStr">
        <is>
          <t>P20</t>
        </is>
      </c>
      <c r="B21" s="14" t="inlineStr">
        <is>
          <t>PoisonedRAG</t>
        </is>
      </c>
      <c r="C21" s="14" t="inlineStr">
        <is>
          <t>PoisonedRAG: Knowledge Corruption Attacks to Retrieval-Augmented Generation of Large Language Models</t>
        </is>
      </c>
      <c r="D21" s="14" t="inlineStr">
        <is>
          <t>Zou</t>
        </is>
      </c>
      <c r="E21" s="14" t="inlineStr">
        <is>
          <t>Wei Zou, Runpeng Geng, Binghui Wang, Jinyuan Jia</t>
        </is>
      </c>
      <c r="F21" s="14" t="inlineStr">
        <is>
          <t>2024</t>
        </is>
      </c>
      <c r="G21" s="14" t="inlineStr">
        <is>
          <t>not printed on this copy</t>
        </is>
      </c>
      <c r="H21" s="14" t="inlineStr">
        <is>
          <t>arXiv:2402.07867v3 [cs.CR], 13 Aug 2024</t>
        </is>
      </c>
      <c r="I21" s="14" t="inlineStr">
        <is>
          <t>Preprint (as downloaded)</t>
        </is>
      </c>
      <c r="J21" s="14" t="inlineStr">
        <is>
          <t>zou_et_al_2025_poisoned_rag_knowledge_corruption_attacks_to_retrieval_augmented_generation_of_LLMs.pdf</t>
        </is>
      </c>
      <c r="K21" s="15" t="n"/>
      <c r="L21" s="15" t="inlineStr">
        <is>
          <t>Attack</t>
        </is>
      </c>
      <c r="M21" s="15" t="inlineStr">
        <is>
          <t>RAG corpus / retriever</t>
        </is>
      </c>
      <c r="N21" s="15" t="inlineStr">
        <is>
          <t>Attacker injects a few malicious texts into the knowledge database of a RAG system</t>
        </is>
      </c>
      <c r="O21" s="15" t="inlineStr">
        <is>
          <t>Attacker picks target questions and target answers; black-box and white-box variants depending on knowledge of the retriever (Sec. 3, 'Threat Model')</t>
        </is>
      </c>
      <c r="P21" s="15" t="inlineStr">
        <is>
          <t>Misinformation / wrong answer</t>
        </is>
      </c>
      <c r="Q21" s="15" t="inlineStr">
        <is>
          <t>Content poisoning</t>
        </is>
      </c>
      <c r="R21" s="15" t="inlineStr">
        <is>
          <t>N/A (attack- or benchmark-only)</t>
        </is>
      </c>
      <c r="S21" s="15" t="inlineStr">
        <is>
          <t>N/A</t>
        </is>
      </c>
      <c r="T21" s="15" t="inlineStr">
        <is>
          <t>Knowledge database treated as trusted ground for generation</t>
        </is>
      </c>
      <c r="U21" s="15" t="inlineStr">
        <is>
          <t>Natural Questions, HotpotQA, MS-MARCO; 8 LLMs; several defenses evaluated (Sec. 5)</t>
        </is>
      </c>
      <c r="V21" s="15" t="inlineStr">
        <is>
          <t>ASR (attack success rate)</t>
        </is>
      </c>
      <c r="W21" s="15" t="inlineStr">
        <is>
          <t>90% ASR when injecting five malicious texts per target question into a database of millions of texts (abstract)</t>
        </is>
      </c>
      <c r="X21" s="15" t="inlineStr">
        <is>
          <t>No</t>
        </is>
      </c>
      <c r="Y21" s="15" t="inlineStr">
        <is>
          <t>Medium</t>
        </is>
      </c>
      <c r="Z21" s="15" t="inlineStr">
        <is>
          <t>Fits frame</t>
        </is>
      </c>
      <c r="AA21" s="15" t="inlineStr">
        <is>
          <t>Claude (draft; verify)</t>
        </is>
      </c>
      <c r="AB21" s="15" t="inlineStr">
        <is>
          <t>2026-09-12</t>
        </is>
      </c>
      <c r="AC21" s="15" t="inlineStr">
        <is>
          <t>Canonical RAG poisoning attack; the attack most RAG defenses in this set evaluate against. Downloaded copy is the arXiv v3; a peer-reviewed version may exist, verify.</t>
        </is>
      </c>
    </row>
  </sheetData>
  <autoFilter ref="A1:AC21"/>
  <dataValidations count="10">
    <dataValidation sqref="L2:L200" showDropDown="0" showInputMessage="0" showErrorMessage="0" allowBlank="1" errorTitle="Not in codebook" error="Pick a value from the Codebook list, or add the value to the Codebook first." type="list">
      <formula1>"Attack,Defense,Benchmark / environment,Evaluation methodology,Survey / taxonomy,Mixed (note which)"</formula1>
      <formula2>0</formula2>
    </dataValidation>
    <dataValidation sqref="M2:M200" showDropDown="0" showInputMessage="0" showErrorMessage="0" allowBlank="1" errorTitle="Not in codebook" error="Pick a value from the Codebook list, or add the value to the Codebook first." type="list">
      <formula1>"RAG corpus / retriever,Tool output (indirect,at runtime),Tool description / metadata (MCP),Direct user input,Multiple (note which)"</formula1>
      <formula2>0</formula2>
    </dataValidation>
    <dataValidation sqref="P2:P200" showDropDown="0" showInputMessage="0" showErrorMessage="0" allowBlank="1" errorTitle="Not in codebook" error="Pick a value from the Codebook list, or add the value to the Codebook first." type="list">
      <formula1>"Task hijack (unauthorised action),Data exfiltration,Misinformation / wrong answer,Denial of service,Tool-selection manipulation,Multiple (note which),N/A (defense-only)"</formula1>
      <formula2>0</formula2>
    </dataValidation>
    <dataValidation sqref="R2:R200" showDropDown="0" showInputMessage="0" showErrorMessage="0" allowBlank="1" errorTitle="Not in codebook" error="Pick a value from the Codebook list, or add the value to the Codebook first." type="list">
      <formula1>"Detection (classifier / probe),Input transformation / prompting,Training-time (fine-tune / alignment),Architectural isolation,Runtime policy / capability enforcement,Certified / provable,Forensics / traceback,N/A (attack- or benchmark-only)"</formula1>
      <formula2>0</formula2>
    </dataValidation>
    <dataValidation sqref="S2:S200" showDropDown="0" showInputMessage="0" showErrorMessage="0" allowBlank="1" errorTitle="Not in codebook" error="Pick a value from the Codebook list, or add the value to the Codebook first." type="list">
      <formula1>"Model weights,Prompt / input layer,Orchestrator / runtime,Tool layer / MCP server,Retriever / index,N/A"</formula1>
      <formula2>0</formula2>
    </dataValidation>
    <dataValidation sqref="V2:V200" showDropDown="0" showInputMessage="0" showErrorMessage="0" allowBlank="1" errorTitle="Not in codebook" error="Pick a value from the Codebook list, or add the value to the Codebook first." type="list">
      <formula1>"ASR (attack success rate),Utility / task success,AUROC,FPR / FNR / TPR,Certified accuracy,Other (note)"</formula1>
      <formula2>0</formula2>
    </dataValidation>
    <dataValidation sqref="X2:X200" showDropDown="0" showInputMessage="0" showErrorMessage="0" allowBlank="1" errorTitle="Not in codebook" error="Pick a value from the Codebook list, or add the value to the Codebook first." type="list">
      <formula1>"Yes,Partial,No"</formula1>
      <formula2>0</formula2>
    </dataValidation>
    <dataValidation sqref="Y2:Y200" showDropDown="0" showInputMessage="0" showErrorMessage="0" allowBlank="1" errorTitle="Not in codebook" error="Pick a value from the Codebook list, or add the value to the Codebook first." type="list">
      <formula1>"High,Medium,Low"</formula1>
      <formula2>0</formula2>
    </dataValidation>
    <dataValidation sqref="Z2:Z200" showDropDown="0" showInputMessage="0" showErrorMessage="0" allowBlank="1" errorTitle="Not in codebook" error="Pick a value from the Codebook list, or add the value to the Codebook first." type="list">
      <formula1>"Fits frame,Needs new dimension (note)"</formula1>
      <formula2>0</formula2>
    </dataValidation>
    <dataValidation sqref="Q2:Q200" showDropDown="0" showInputMessage="0" showErrorMessage="0" allowBlank="1" type="list">
      <formula1>"Instruction injection,Content poisoning,Both (note which),N/A (defense-only)"</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85"/>
  <sheetViews>
    <sheetView zoomScaleNormal="100" workbookViewId="0">
      <selection activeCell="A1" sqref="A1"/>
    </sheetView>
  </sheetViews>
  <sheetFormatPr baseColWidth="10" defaultColWidth="8.6640625" defaultRowHeight="15"/>
  <cols>
    <col width="40" customWidth="1" min="1" max="1"/>
    <col width="16" customWidth="1" min="2" max="9"/>
  </cols>
  <sheetData>
    <row r="1" ht="17.25" customHeight="1">
      <c r="A1" s="3" t="inlineStr">
        <is>
          <t>Coverage of the coded papers across each dimension</t>
        </is>
      </c>
    </row>
    <row r="2" ht="15" customHeight="1">
      <c r="A2" s="4" t="inlineStr">
        <is>
          <t>Counts update automatically as rows on 'Coding Matrix' are coded. Counts use rows 2 to 200 so appended papers are included.</t>
        </is>
      </c>
    </row>
    <row r="3"/>
    <row r="4" ht="15" customHeight="1">
      <c r="A4" s="5" t="inlineStr">
        <is>
          <t>Papers coded so far (Paper type filled)</t>
        </is>
      </c>
      <c r="B4" s="17">
        <f>COUNTA('Coding Matrix'!L2:L200)</f>
        <v/>
      </c>
    </row>
    <row r="5" ht="15" customHeight="1">
      <c r="A5" s="5" t="inlineStr">
        <is>
          <t>Papers in matrix</t>
        </is>
      </c>
      <c r="B5" s="17">
        <f>COUNTA('Coding Matrix'!A2:A200)</f>
        <v/>
      </c>
    </row>
    <row r="6"/>
    <row r="7" ht="15" customHeight="1">
      <c r="A7" s="18" t="inlineStr">
        <is>
          <t>Paper type</t>
        </is>
      </c>
      <c r="B7" s="18" t="inlineStr">
        <is>
          <t>Count</t>
        </is>
      </c>
      <c r="C7" s="18" t="inlineStr">
        <is>
          <t>Share of coded</t>
        </is>
      </c>
    </row>
    <row r="8" ht="15" customHeight="1">
      <c r="A8" s="11" t="inlineStr">
        <is>
          <t>Attack</t>
        </is>
      </c>
      <c r="B8" s="11">
        <f>COUNTIF('Coding Matrix'!L$2:L$200,A8)</f>
        <v/>
      </c>
      <c r="C8" s="19">
        <f>IF($B$4=0,0,B8/$B$4)</f>
        <v/>
      </c>
    </row>
    <row r="9" ht="15" customHeight="1">
      <c r="A9" s="11" t="inlineStr">
        <is>
          <t>Defense</t>
        </is>
      </c>
      <c r="B9" s="11">
        <f>COUNTIF('Coding Matrix'!L$2:L$200,A9)</f>
        <v/>
      </c>
      <c r="C9" s="19">
        <f>IF($B$4=0,0,B9/$B$4)</f>
        <v/>
      </c>
    </row>
    <row r="10" ht="15" customHeight="1">
      <c r="A10" s="11" t="inlineStr">
        <is>
          <t>Benchmark / environment</t>
        </is>
      </c>
      <c r="B10" s="11">
        <f>COUNTIF('Coding Matrix'!L$2:L$200,A10)</f>
        <v/>
      </c>
      <c r="C10" s="19">
        <f>IF($B$4=0,0,B10/$B$4)</f>
        <v/>
      </c>
    </row>
    <row r="11" ht="15" customHeight="1">
      <c r="A11" s="11" t="inlineStr">
        <is>
          <t>Evaluation methodology</t>
        </is>
      </c>
      <c r="B11" s="11">
        <f>COUNTIF('Coding Matrix'!L$2:L$200,A11)</f>
        <v/>
      </c>
      <c r="C11" s="19">
        <f>IF($B$4=0,0,B11/$B$4)</f>
        <v/>
      </c>
    </row>
    <row r="12" ht="15" customHeight="1">
      <c r="A12" s="11" t="inlineStr">
        <is>
          <t>Survey / taxonomy</t>
        </is>
      </c>
      <c r="B12" s="11">
        <f>COUNTIF('Coding Matrix'!L$2:L$200,A12)</f>
        <v/>
      </c>
      <c r="C12" s="19">
        <f>IF($B$4=0,0,B12/$B$4)</f>
        <v/>
      </c>
    </row>
    <row r="13" ht="15" customHeight="1">
      <c r="A13" s="11" t="inlineStr">
        <is>
          <t>Mixed (note which)</t>
        </is>
      </c>
      <c r="B13" s="11">
        <f>COUNTIF('Coding Matrix'!L$2:L$200,A13)</f>
        <v/>
      </c>
      <c r="C13" s="19">
        <f>IF($B$4=0,0,B13/$B$4)</f>
        <v/>
      </c>
    </row>
    <row r="14"/>
    <row r="15" ht="15" customHeight="1">
      <c r="A15" s="18" t="inlineStr">
        <is>
          <t>Attack surface</t>
        </is>
      </c>
      <c r="B15" s="18" t="inlineStr">
        <is>
          <t>Count</t>
        </is>
      </c>
      <c r="C15" s="18" t="inlineStr">
        <is>
          <t>Share of coded</t>
        </is>
      </c>
    </row>
    <row r="16" ht="15" customHeight="1">
      <c r="A16" s="11" t="inlineStr">
        <is>
          <t>RAG corpus / retriever</t>
        </is>
      </c>
      <c r="B16" s="11">
        <f>COUNTIF('Coding Matrix'!M$2:M$200,A16)</f>
        <v/>
      </c>
      <c r="C16" s="19">
        <f>IF($B$4=0,0,B16/$B$4)</f>
        <v/>
      </c>
    </row>
    <row r="17" ht="15" customHeight="1">
      <c r="A17" s="11" t="inlineStr">
        <is>
          <t>Tool output (indirect, at runtime)</t>
        </is>
      </c>
      <c r="B17" s="11">
        <f>COUNTIF('Coding Matrix'!M$2:M$200,A17)</f>
        <v/>
      </c>
      <c r="C17" s="19">
        <f>IF($B$4=0,0,B17/$B$4)</f>
        <v/>
      </c>
    </row>
    <row r="18" ht="15" customHeight="1">
      <c r="A18" s="11" t="inlineStr">
        <is>
          <t>Tool description / metadata (MCP)</t>
        </is>
      </c>
      <c r="B18" s="11">
        <f>COUNTIF('Coding Matrix'!M$2:M$200,A18)</f>
        <v/>
      </c>
      <c r="C18" s="19">
        <f>IF($B$4=0,0,B18/$B$4)</f>
        <v/>
      </c>
    </row>
    <row r="19" ht="15" customHeight="1">
      <c r="A19" s="11" t="inlineStr">
        <is>
          <t>Direct user input</t>
        </is>
      </c>
      <c r="B19" s="11">
        <f>COUNTIF('Coding Matrix'!M$2:M$200,A19)</f>
        <v/>
      </c>
      <c r="C19" s="19">
        <f>IF($B$4=0,0,B19/$B$4)</f>
        <v/>
      </c>
    </row>
    <row r="20" ht="15" customHeight="1">
      <c r="A20" s="11" t="inlineStr">
        <is>
          <t>Multiple (note which)</t>
        </is>
      </c>
      <c r="B20" s="11">
        <f>COUNTIF('Coding Matrix'!M$2:M$200,A20)</f>
        <v/>
      </c>
      <c r="C20" s="19">
        <f>IF($B$4=0,0,B20/$B$4)</f>
        <v/>
      </c>
    </row>
    <row r="21"/>
    <row r="22" ht="15" customHeight="1">
      <c r="A22" s="18" t="inlineStr">
        <is>
          <t>Attack objective</t>
        </is>
      </c>
      <c r="B22" s="18" t="inlineStr">
        <is>
          <t>Count</t>
        </is>
      </c>
      <c r="C22" s="18" t="inlineStr">
        <is>
          <t>Share of coded</t>
        </is>
      </c>
    </row>
    <row r="23" ht="15" customHeight="1">
      <c r="A23" s="11" t="inlineStr">
        <is>
          <t>Task hijack (unauthorised action)</t>
        </is>
      </c>
      <c r="B23" s="11">
        <f>COUNTIF('Coding Matrix'!P$2:P$200,A23)</f>
        <v/>
      </c>
      <c r="C23" s="19">
        <f>IF($B$4=0,0,B23/$B$4)</f>
        <v/>
      </c>
    </row>
    <row r="24" ht="15" customHeight="1">
      <c r="A24" s="11" t="inlineStr">
        <is>
          <t>Data exfiltration</t>
        </is>
      </c>
      <c r="B24" s="11">
        <f>COUNTIF('Coding Matrix'!P$2:P$200,A24)</f>
        <v/>
      </c>
      <c r="C24" s="19">
        <f>IF($B$4=0,0,B24/$B$4)</f>
        <v/>
      </c>
    </row>
    <row r="25" ht="15" customHeight="1">
      <c r="A25" s="11" t="inlineStr">
        <is>
          <t>Misinformation / wrong answer</t>
        </is>
      </c>
      <c r="B25" s="11">
        <f>COUNTIF('Coding Matrix'!P$2:P$200,A25)</f>
        <v/>
      </c>
      <c r="C25" s="19">
        <f>IF($B$4=0,0,B25/$B$4)</f>
        <v/>
      </c>
    </row>
    <row r="26" ht="15" customHeight="1">
      <c r="A26" s="11" t="inlineStr">
        <is>
          <t>Denial of service</t>
        </is>
      </c>
      <c r="B26" s="11">
        <f>COUNTIF('Coding Matrix'!P$2:P$200,A26)</f>
        <v/>
      </c>
      <c r="C26" s="19">
        <f>IF($B$4=0,0,B26/$B$4)</f>
        <v/>
      </c>
    </row>
    <row r="27" ht="15" customHeight="1">
      <c r="A27" s="11" t="inlineStr">
        <is>
          <t>Tool-selection manipulation</t>
        </is>
      </c>
      <c r="B27" s="11">
        <f>COUNTIF('Coding Matrix'!P$2:P$200,A27)</f>
        <v/>
      </c>
      <c r="C27" s="19">
        <f>IF($B$4=0,0,B27/$B$4)</f>
        <v/>
      </c>
    </row>
    <row r="28" ht="15" customHeight="1">
      <c r="A28" s="11" t="inlineStr">
        <is>
          <t>Multiple (note which)</t>
        </is>
      </c>
      <c r="B28" s="11">
        <f>COUNTIF('Coding Matrix'!P$2:P$200,A28)</f>
        <v/>
      </c>
      <c r="C28" s="19">
        <f>IF($B$4=0,0,B28/$B$4)</f>
        <v/>
      </c>
    </row>
    <row r="29" ht="15" customHeight="1">
      <c r="A29" s="11" t="inlineStr">
        <is>
          <t>N/A (defense-only)</t>
        </is>
      </c>
      <c r="B29" s="11">
        <f>COUNTIF('Coding Matrix'!P$2:P$200,A29)</f>
        <v/>
      </c>
      <c r="C29" s="19">
        <f>IF($B$4=0,0,B29/$B$4)</f>
        <v/>
      </c>
    </row>
    <row r="30"/>
    <row r="31" ht="15" customHeight="1">
      <c r="A31" s="18" t="inlineStr">
        <is>
          <t>Defense class</t>
        </is>
      </c>
      <c r="B31" s="18" t="inlineStr">
        <is>
          <t>Count</t>
        </is>
      </c>
      <c r="C31" s="18" t="inlineStr">
        <is>
          <t>Share of coded</t>
        </is>
      </c>
    </row>
    <row r="32" ht="15" customHeight="1">
      <c r="A32" s="11" t="inlineStr">
        <is>
          <t>Detection (classifier / probe)</t>
        </is>
      </c>
      <c r="B32" s="11">
        <f>COUNTIF('Coding Matrix'!R$2:R$200,A32)</f>
        <v/>
      </c>
      <c r="C32" s="19">
        <f>IF($B$4=0,0,B32/$B$4)</f>
        <v/>
      </c>
    </row>
    <row r="33" ht="15" customHeight="1">
      <c r="A33" s="11" t="inlineStr">
        <is>
          <t>Input transformation / prompting</t>
        </is>
      </c>
      <c r="B33" s="11">
        <f>COUNTIF('Coding Matrix'!R$2:R$200,A33)</f>
        <v/>
      </c>
      <c r="C33" s="19">
        <f>IF($B$4=0,0,B33/$B$4)</f>
        <v/>
      </c>
    </row>
    <row r="34" ht="15" customHeight="1">
      <c r="A34" s="11" t="inlineStr">
        <is>
          <t>Training-time (fine-tune / alignment)</t>
        </is>
      </c>
      <c r="B34" s="11">
        <f>COUNTIF('Coding Matrix'!R$2:R$200,A34)</f>
        <v/>
      </c>
      <c r="C34" s="19">
        <f>IF($B$4=0,0,B34/$B$4)</f>
        <v/>
      </c>
    </row>
    <row r="35" ht="15" customHeight="1">
      <c r="A35" s="11" t="inlineStr">
        <is>
          <t>Architectural isolation</t>
        </is>
      </c>
      <c r="B35" s="11">
        <f>COUNTIF('Coding Matrix'!R$2:R$200,A35)</f>
        <v/>
      </c>
      <c r="C35" s="19">
        <f>IF($B$4=0,0,B35/$B$4)</f>
        <v/>
      </c>
    </row>
    <row r="36" ht="15" customHeight="1">
      <c r="A36" s="11" t="inlineStr">
        <is>
          <t>Runtime policy / capability enforcement</t>
        </is>
      </c>
      <c r="B36" s="11">
        <f>COUNTIF('Coding Matrix'!R$2:R$200,A36)</f>
        <v/>
      </c>
      <c r="C36" s="19">
        <f>IF($B$4=0,0,B36/$B$4)</f>
        <v/>
      </c>
    </row>
    <row r="37" ht="15" customHeight="1">
      <c r="A37" s="11" t="inlineStr">
        <is>
          <t>Certified / provable</t>
        </is>
      </c>
      <c r="B37" s="11">
        <f>COUNTIF('Coding Matrix'!R$2:R$200,A37)</f>
        <v/>
      </c>
      <c r="C37" s="19">
        <f>IF($B$4=0,0,B37/$B$4)</f>
        <v/>
      </c>
    </row>
    <row r="38" ht="15" customHeight="1">
      <c r="A38" s="11" t="inlineStr">
        <is>
          <t>Forensics / traceback</t>
        </is>
      </c>
      <c r="B38" s="11">
        <f>COUNTIF('Coding Matrix'!R$2:R$200,A38)</f>
        <v/>
      </c>
      <c r="C38" s="19">
        <f>IF($B$4=0,0,B38/$B$4)</f>
        <v/>
      </c>
    </row>
    <row r="39" ht="15" customHeight="1">
      <c r="A39" s="11" t="inlineStr">
        <is>
          <t>N/A (attack- or benchmark-only)</t>
        </is>
      </c>
      <c r="B39" s="11">
        <f>COUNTIF('Coding Matrix'!R$2:R$200,A39)</f>
        <v/>
      </c>
      <c r="C39" s="19">
        <f>IF($B$4=0,0,B39/$B$4)</f>
        <v/>
      </c>
    </row>
    <row r="40"/>
    <row r="41" ht="15" customHeight="1">
      <c r="A41" s="18" t="inlineStr">
        <is>
          <t>Enforcement point</t>
        </is>
      </c>
      <c r="B41" s="18" t="inlineStr">
        <is>
          <t>Count</t>
        </is>
      </c>
      <c r="C41" s="18" t="inlineStr">
        <is>
          <t>Share of coded</t>
        </is>
      </c>
    </row>
    <row r="42" ht="15" customHeight="1">
      <c r="A42" s="11" t="inlineStr">
        <is>
          <t>Model weights</t>
        </is>
      </c>
      <c r="B42" s="11">
        <f>COUNTIF('Coding Matrix'!S$2:S$200,A42)</f>
        <v/>
      </c>
      <c r="C42" s="19">
        <f>IF($B$4=0,0,B42/$B$4)</f>
        <v/>
      </c>
    </row>
    <row r="43" ht="15" customHeight="1">
      <c r="A43" s="11" t="inlineStr">
        <is>
          <t>Prompt / input layer</t>
        </is>
      </c>
      <c r="B43" s="11">
        <f>COUNTIF('Coding Matrix'!S$2:S$200,A43)</f>
        <v/>
      </c>
      <c r="C43" s="19">
        <f>IF($B$4=0,0,B43/$B$4)</f>
        <v/>
      </c>
    </row>
    <row r="44" ht="15" customHeight="1">
      <c r="A44" s="11" t="inlineStr">
        <is>
          <t>Orchestrator / runtime</t>
        </is>
      </c>
      <c r="B44" s="11">
        <f>COUNTIF('Coding Matrix'!S$2:S$200,A44)</f>
        <v/>
      </c>
      <c r="C44" s="19">
        <f>IF($B$4=0,0,B44/$B$4)</f>
        <v/>
      </c>
    </row>
    <row r="45" ht="15" customHeight="1">
      <c r="A45" s="11" t="inlineStr">
        <is>
          <t>Tool layer / MCP server</t>
        </is>
      </c>
      <c r="B45" s="11">
        <f>COUNTIF('Coding Matrix'!S$2:S$200,A45)</f>
        <v/>
      </c>
      <c r="C45" s="19">
        <f>IF($B$4=0,0,B45/$B$4)</f>
        <v/>
      </c>
    </row>
    <row r="46" ht="15" customHeight="1">
      <c r="A46" s="11" t="inlineStr">
        <is>
          <t>Retriever / index</t>
        </is>
      </c>
      <c r="B46" s="11">
        <f>COUNTIF('Coding Matrix'!S$2:S$200,A46)</f>
        <v/>
      </c>
      <c r="C46" s="19">
        <f>IF($B$4=0,0,B46/$B$4)</f>
        <v/>
      </c>
    </row>
    <row r="47" ht="15" customHeight="1">
      <c r="A47" s="11" t="inlineStr">
        <is>
          <t>N/A</t>
        </is>
      </c>
      <c r="B47" s="11">
        <f>COUNTIF('Coding Matrix'!S$2:S$200,A47)</f>
        <v/>
      </c>
      <c r="C47" s="19">
        <f>IF($B$4=0,0,B47/$B$4)</f>
        <v/>
      </c>
    </row>
    <row r="48"/>
    <row r="49" ht="15" customHeight="1">
      <c r="A49" s="18" t="inlineStr">
        <is>
          <t>Primary metric</t>
        </is>
      </c>
      <c r="B49" s="18" t="inlineStr">
        <is>
          <t>Count</t>
        </is>
      </c>
      <c r="C49" s="18" t="inlineStr">
        <is>
          <t>Share of coded</t>
        </is>
      </c>
    </row>
    <row r="50" ht="15" customHeight="1">
      <c r="A50" s="11" t="inlineStr">
        <is>
          <t>ASR (attack success rate)</t>
        </is>
      </c>
      <c r="B50" s="11">
        <f>COUNTIF('Coding Matrix'!V$2:V$200,A50)</f>
        <v/>
      </c>
      <c r="C50" s="19">
        <f>IF($B$4=0,0,B50/$B$4)</f>
        <v/>
      </c>
    </row>
    <row r="51" ht="15" customHeight="1">
      <c r="A51" s="11" t="inlineStr">
        <is>
          <t>Utility / task success</t>
        </is>
      </c>
      <c r="B51" s="11">
        <f>COUNTIF('Coding Matrix'!V$2:V$200,A51)</f>
        <v/>
      </c>
      <c r="C51" s="19">
        <f>IF($B$4=0,0,B51/$B$4)</f>
        <v/>
      </c>
    </row>
    <row r="52" ht="15" customHeight="1">
      <c r="A52" s="11" t="inlineStr">
        <is>
          <t>AUROC</t>
        </is>
      </c>
      <c r="B52" s="11">
        <f>COUNTIF('Coding Matrix'!V$2:V$200,A52)</f>
        <v/>
      </c>
      <c r="C52" s="19">
        <f>IF($B$4=0,0,B52/$B$4)</f>
        <v/>
      </c>
    </row>
    <row r="53" ht="15" customHeight="1">
      <c r="A53" s="11" t="inlineStr">
        <is>
          <t>FPR / FNR / TPR</t>
        </is>
      </c>
      <c r="B53" s="11">
        <f>COUNTIF('Coding Matrix'!V$2:V$200,A53)</f>
        <v/>
      </c>
      <c r="C53" s="19">
        <f>IF($B$4=0,0,B53/$B$4)</f>
        <v/>
      </c>
    </row>
    <row r="54" ht="15" customHeight="1">
      <c r="A54" s="11" t="inlineStr">
        <is>
          <t>Certified accuracy</t>
        </is>
      </c>
      <c r="B54" s="11">
        <f>COUNTIF('Coding Matrix'!V$2:V$200,A54)</f>
        <v/>
      </c>
      <c r="C54" s="19">
        <f>IF($B$4=0,0,B54/$B$4)</f>
        <v/>
      </c>
    </row>
    <row r="55" ht="15" customHeight="1">
      <c r="A55" s="11" t="inlineStr">
        <is>
          <t>Other (note)</t>
        </is>
      </c>
      <c r="B55" s="11">
        <f>COUNTIF('Coding Matrix'!V$2:V$200,A55)</f>
        <v/>
      </c>
      <c r="C55" s="19">
        <f>IF($B$4=0,0,B55/$B$4)</f>
        <v/>
      </c>
    </row>
    <row r="56"/>
    <row r="57" ht="15" customHeight="1">
      <c r="A57" s="18" t="inlineStr">
        <is>
          <t>Addresses MCP explicitly</t>
        </is>
      </c>
      <c r="B57" s="18" t="inlineStr">
        <is>
          <t>Count</t>
        </is>
      </c>
      <c r="C57" s="18" t="inlineStr">
        <is>
          <t>Share of coded</t>
        </is>
      </c>
    </row>
    <row r="58" ht="15" customHeight="1">
      <c r="A58" s="11" t="inlineStr">
        <is>
          <t>Yes</t>
        </is>
      </c>
      <c r="B58" s="11">
        <f>COUNTIF('Coding Matrix'!X$2:X$200,A58)</f>
        <v/>
      </c>
      <c r="C58" s="19">
        <f>IF($B$4=0,0,B58/$B$4)</f>
        <v/>
      </c>
    </row>
    <row r="59" ht="15" customHeight="1">
      <c r="A59" s="11" t="inlineStr">
        <is>
          <t>Partial</t>
        </is>
      </c>
      <c r="B59" s="11">
        <f>COUNTIF('Coding Matrix'!X$2:X$200,A59)</f>
        <v/>
      </c>
      <c r="C59" s="19">
        <f>IF($B$4=0,0,B59/$B$4)</f>
        <v/>
      </c>
    </row>
    <row r="60" ht="15" customHeight="1">
      <c r="A60" s="11" t="inlineStr">
        <is>
          <t>No</t>
        </is>
      </c>
      <c r="B60" s="11">
        <f>COUNTIF('Coding Matrix'!X$2:X$200,A60)</f>
        <v/>
      </c>
      <c r="C60" s="19">
        <f>IF($B$4=0,0,B60/$B$4)</f>
        <v/>
      </c>
    </row>
    <row r="61"/>
    <row r="62" ht="15" customHeight="1">
      <c r="A62" s="18" t="inlineStr">
        <is>
          <t>Relevance to our RQ</t>
        </is>
      </c>
      <c r="B62" s="18" t="inlineStr">
        <is>
          <t>Count</t>
        </is>
      </c>
      <c r="C62" s="18" t="inlineStr">
        <is>
          <t>Share of coded</t>
        </is>
      </c>
    </row>
    <row r="63" ht="15" customHeight="1">
      <c r="A63" s="11" t="inlineStr">
        <is>
          <t>High</t>
        </is>
      </c>
      <c r="B63" s="11">
        <f>COUNTIF('Coding Matrix'!Y$2:Y$200,A63)</f>
        <v/>
      </c>
      <c r="C63" s="19">
        <f>IF($B$4=0,0,B63/$B$4)</f>
        <v/>
      </c>
    </row>
    <row r="64" ht="15" customHeight="1">
      <c r="A64" s="11" t="inlineStr">
        <is>
          <t>Medium</t>
        </is>
      </c>
      <c r="B64" s="11">
        <f>COUNTIF('Coding Matrix'!Y$2:Y$200,A64)</f>
        <v/>
      </c>
      <c r="C64" s="19">
        <f>IF($B$4=0,0,B64/$B$4)</f>
        <v/>
      </c>
    </row>
    <row r="65" ht="15" customHeight="1">
      <c r="A65" s="11" t="inlineStr">
        <is>
          <t>Low</t>
        </is>
      </c>
      <c r="B65" s="11">
        <f>COUNTIF('Coding Matrix'!Y$2:Y$200,A65)</f>
        <v/>
      </c>
      <c r="C65" s="19">
        <f>IF($B$4=0,0,B65/$B$4)</f>
        <v/>
      </c>
    </row>
    <row r="66"/>
    <row r="67" ht="15" customHeight="1">
      <c r="A67" s="18" t="inlineStr">
        <is>
          <t>Fits the coding frame?</t>
        </is>
      </c>
      <c r="B67" s="18" t="inlineStr">
        <is>
          <t>Count</t>
        </is>
      </c>
      <c r="C67" s="18" t="inlineStr">
        <is>
          <t>Share of coded</t>
        </is>
      </c>
    </row>
    <row r="68" ht="15" customHeight="1">
      <c r="A68" s="11" t="inlineStr">
        <is>
          <t>Fits frame</t>
        </is>
      </c>
      <c r="B68" s="11">
        <f>COUNTIF('Coding Matrix'!Z$2:Z$200,A68)</f>
        <v/>
      </c>
      <c r="C68" s="19">
        <f>IF($B$4=0,0,B68/$B$4)</f>
        <v/>
      </c>
    </row>
    <row r="69" ht="15" customHeight="1">
      <c r="A69" s="11" t="inlineStr">
        <is>
          <t>Needs new dimension (note)</t>
        </is>
      </c>
      <c r="B69" s="11">
        <f>COUNTIF('Coding Matrix'!Z$2:Z$200,A69)</f>
        <v/>
      </c>
      <c r="C69" s="19">
        <f>IF($B$4=0,0,B69/$B$4)</f>
        <v/>
      </c>
    </row>
    <row r="70"/>
    <row r="71" ht="15" customHeight="1">
      <c r="A71" s="5" t="inlineStr">
        <is>
          <t>Cross-tab: Attack surface (rows) by Defense class (columns)</t>
        </is>
      </c>
    </row>
    <row r="72" ht="45" customHeight="1">
      <c r="A72" s="20" t="n"/>
      <c r="B72" s="8" t="inlineStr">
        <is>
          <t>Detection (classifier / probe)</t>
        </is>
      </c>
      <c r="C72" s="8" t="inlineStr">
        <is>
          <t>Input transformation / prompting</t>
        </is>
      </c>
      <c r="D72" s="8" t="inlineStr">
        <is>
          <t>Training-time (fine-tune / alignment)</t>
        </is>
      </c>
      <c r="E72" s="8" t="inlineStr">
        <is>
          <t>Architectural isolation</t>
        </is>
      </c>
      <c r="F72" s="8" t="inlineStr">
        <is>
          <t>Runtime policy / capability enforcement</t>
        </is>
      </c>
      <c r="G72" s="8" t="inlineStr">
        <is>
          <t>Certified / provable</t>
        </is>
      </c>
      <c r="H72" s="8" t="inlineStr">
        <is>
          <t>Forensics / traceback</t>
        </is>
      </c>
      <c r="I72" s="8" t="inlineStr">
        <is>
          <t>N/A (attack- or benchmark-only)</t>
        </is>
      </c>
    </row>
    <row r="73" ht="15" customHeight="1">
      <c r="A73" s="21" t="inlineStr">
        <is>
          <t>RAG corpus / retriever</t>
        </is>
      </c>
      <c r="B73" s="22">
        <f>COUNTIFS('Coding Matrix'!M$2:M$200,$A73,'Coding Matrix'!R$2:R$200,B$72)</f>
        <v/>
      </c>
      <c r="C73" s="22">
        <f>COUNTIFS('Coding Matrix'!M$2:M$200,$A73,'Coding Matrix'!R$2:R$200,C$72)</f>
        <v/>
      </c>
      <c r="D73" s="22">
        <f>COUNTIFS('Coding Matrix'!M$2:M$200,$A73,'Coding Matrix'!R$2:R$200,D$72)</f>
        <v/>
      </c>
      <c r="E73" s="22">
        <f>COUNTIFS('Coding Matrix'!M$2:M$200,$A73,'Coding Matrix'!R$2:R$200,E$72)</f>
        <v/>
      </c>
      <c r="F73" s="22">
        <f>COUNTIFS('Coding Matrix'!M$2:M$200,$A73,'Coding Matrix'!R$2:R$200,F$72)</f>
        <v/>
      </c>
      <c r="G73" s="22">
        <f>COUNTIFS('Coding Matrix'!M$2:M$200,$A73,'Coding Matrix'!R$2:R$200,G$72)</f>
        <v/>
      </c>
      <c r="H73" s="22">
        <f>COUNTIFS('Coding Matrix'!M$2:M$200,$A73,'Coding Matrix'!R$2:R$200,H$72)</f>
        <v/>
      </c>
      <c r="I73" s="22">
        <f>COUNTIFS('Coding Matrix'!M$2:M$200,$A73,'Coding Matrix'!R$2:R$200,I$72)</f>
        <v/>
      </c>
    </row>
    <row r="74" ht="15" customHeight="1">
      <c r="A74" s="21" t="inlineStr">
        <is>
          <t>Tool output (indirect, at runtime)</t>
        </is>
      </c>
      <c r="B74" s="22">
        <f>COUNTIFS('Coding Matrix'!M$2:M$200,$A74,'Coding Matrix'!R$2:R$200,B$72)</f>
        <v/>
      </c>
      <c r="C74" s="22">
        <f>COUNTIFS('Coding Matrix'!M$2:M$200,$A74,'Coding Matrix'!R$2:R$200,C$72)</f>
        <v/>
      </c>
      <c r="D74" s="22">
        <f>COUNTIFS('Coding Matrix'!M$2:M$200,$A74,'Coding Matrix'!R$2:R$200,D$72)</f>
        <v/>
      </c>
      <c r="E74" s="22">
        <f>COUNTIFS('Coding Matrix'!M$2:M$200,$A74,'Coding Matrix'!R$2:R$200,E$72)</f>
        <v/>
      </c>
      <c r="F74" s="22">
        <f>COUNTIFS('Coding Matrix'!M$2:M$200,$A74,'Coding Matrix'!R$2:R$200,F$72)</f>
        <v/>
      </c>
      <c r="G74" s="22">
        <f>COUNTIFS('Coding Matrix'!M$2:M$200,$A74,'Coding Matrix'!R$2:R$200,G$72)</f>
        <v/>
      </c>
      <c r="H74" s="22">
        <f>COUNTIFS('Coding Matrix'!M$2:M$200,$A74,'Coding Matrix'!R$2:R$200,H$72)</f>
        <v/>
      </c>
      <c r="I74" s="22">
        <f>COUNTIFS('Coding Matrix'!M$2:M$200,$A74,'Coding Matrix'!R$2:R$200,I$72)</f>
        <v/>
      </c>
    </row>
    <row r="75" ht="15" customHeight="1">
      <c r="A75" s="21" t="inlineStr">
        <is>
          <t>Tool description / metadata (MCP)</t>
        </is>
      </c>
      <c r="B75" s="22">
        <f>COUNTIFS('Coding Matrix'!M$2:M$200,$A75,'Coding Matrix'!R$2:R$200,B$72)</f>
        <v/>
      </c>
      <c r="C75" s="22">
        <f>COUNTIFS('Coding Matrix'!M$2:M$200,$A75,'Coding Matrix'!R$2:R$200,C$72)</f>
        <v/>
      </c>
      <c r="D75" s="22">
        <f>COUNTIFS('Coding Matrix'!M$2:M$200,$A75,'Coding Matrix'!R$2:R$200,D$72)</f>
        <v/>
      </c>
      <c r="E75" s="22">
        <f>COUNTIFS('Coding Matrix'!M$2:M$200,$A75,'Coding Matrix'!R$2:R$200,E$72)</f>
        <v/>
      </c>
      <c r="F75" s="22">
        <f>COUNTIFS('Coding Matrix'!M$2:M$200,$A75,'Coding Matrix'!R$2:R$200,F$72)</f>
        <v/>
      </c>
      <c r="G75" s="22">
        <f>COUNTIFS('Coding Matrix'!M$2:M$200,$A75,'Coding Matrix'!R$2:R$200,G$72)</f>
        <v/>
      </c>
      <c r="H75" s="22">
        <f>COUNTIFS('Coding Matrix'!M$2:M$200,$A75,'Coding Matrix'!R$2:R$200,H$72)</f>
        <v/>
      </c>
      <c r="I75" s="22">
        <f>COUNTIFS('Coding Matrix'!M$2:M$200,$A75,'Coding Matrix'!R$2:R$200,I$72)</f>
        <v/>
      </c>
    </row>
    <row r="76" ht="15" customHeight="1">
      <c r="A76" s="21" t="inlineStr">
        <is>
          <t>Direct user input</t>
        </is>
      </c>
      <c r="B76" s="22">
        <f>COUNTIFS('Coding Matrix'!M$2:M$200,$A76,'Coding Matrix'!R$2:R$200,B$72)</f>
        <v/>
      </c>
      <c r="C76" s="22">
        <f>COUNTIFS('Coding Matrix'!M$2:M$200,$A76,'Coding Matrix'!R$2:R$200,C$72)</f>
        <v/>
      </c>
      <c r="D76" s="22">
        <f>COUNTIFS('Coding Matrix'!M$2:M$200,$A76,'Coding Matrix'!R$2:R$200,D$72)</f>
        <v/>
      </c>
      <c r="E76" s="22">
        <f>COUNTIFS('Coding Matrix'!M$2:M$200,$A76,'Coding Matrix'!R$2:R$200,E$72)</f>
        <v/>
      </c>
      <c r="F76" s="22">
        <f>COUNTIFS('Coding Matrix'!M$2:M$200,$A76,'Coding Matrix'!R$2:R$200,F$72)</f>
        <v/>
      </c>
      <c r="G76" s="22">
        <f>COUNTIFS('Coding Matrix'!M$2:M$200,$A76,'Coding Matrix'!R$2:R$200,G$72)</f>
        <v/>
      </c>
      <c r="H76" s="22">
        <f>COUNTIFS('Coding Matrix'!M$2:M$200,$A76,'Coding Matrix'!R$2:R$200,H$72)</f>
        <v/>
      </c>
      <c r="I76" s="22">
        <f>COUNTIFS('Coding Matrix'!M$2:M$200,$A76,'Coding Matrix'!R$2:R$200,I$72)</f>
        <v/>
      </c>
    </row>
    <row r="77" ht="15" customHeight="1">
      <c r="A77" s="21" t="inlineStr">
        <is>
          <t>Multiple (note which)</t>
        </is>
      </c>
      <c r="B77" s="22">
        <f>COUNTIFS('Coding Matrix'!M$2:M$200,$A77,'Coding Matrix'!R$2:R$200,B$72)</f>
        <v/>
      </c>
      <c r="C77" s="22">
        <f>COUNTIFS('Coding Matrix'!M$2:M$200,$A77,'Coding Matrix'!R$2:R$200,C$72)</f>
        <v/>
      </c>
      <c r="D77" s="22">
        <f>COUNTIFS('Coding Matrix'!M$2:M$200,$A77,'Coding Matrix'!R$2:R$200,D$72)</f>
        <v/>
      </c>
      <c r="E77" s="22">
        <f>COUNTIFS('Coding Matrix'!M$2:M$200,$A77,'Coding Matrix'!R$2:R$200,E$72)</f>
        <v/>
      </c>
      <c r="F77" s="22">
        <f>COUNTIFS('Coding Matrix'!M$2:M$200,$A77,'Coding Matrix'!R$2:R$200,F$72)</f>
        <v/>
      </c>
      <c r="G77" s="22">
        <f>COUNTIFS('Coding Matrix'!M$2:M$200,$A77,'Coding Matrix'!R$2:R$200,G$72)</f>
        <v/>
      </c>
      <c r="H77" s="22">
        <f>COUNTIFS('Coding Matrix'!M$2:M$200,$A77,'Coding Matrix'!R$2:R$200,H$72)</f>
        <v/>
      </c>
      <c r="I77" s="22">
        <f>COUNTIFS('Coding Matrix'!M$2:M$200,$A77,'Coding Matrix'!R$2:R$200,I$72)</f>
        <v/>
      </c>
    </row>
    <row r="78"/>
    <row r="79" ht="30" customHeight="1">
      <c r="A79" s="1" t="inlineStr">
        <is>
          <t>Reading the cross-tab: an empty cell is a candidate gap in the literature you hold; a crowded cell is where a 'first to' claim will not survive review (project instructions, section 3).</t>
        </is>
      </c>
    </row>
    <row r="81">
      <c r="A81" s="18" t="inlineStr">
        <is>
          <t>Payload</t>
        </is>
      </c>
      <c r="B81" s="18" t="inlineStr">
        <is>
          <t>Count</t>
        </is>
      </c>
      <c r="C81" s="18" t="inlineStr">
        <is>
          <t>Share of coded</t>
        </is>
      </c>
    </row>
    <row r="82">
      <c r="A82" s="11" t="inlineStr">
        <is>
          <t>Instruction injection</t>
        </is>
      </c>
      <c r="B82" s="11">
        <f>COUNTIF('Coding Matrix'!Q$2:Q$200,A82)</f>
        <v/>
      </c>
      <c r="C82" s="19">
        <f>IF($B$4=0,0,B82/$B$4)</f>
        <v/>
      </c>
    </row>
    <row r="83">
      <c r="A83" s="11" t="inlineStr">
        <is>
          <t>Content poisoning</t>
        </is>
      </c>
      <c r="B83" s="11">
        <f>COUNTIF('Coding Matrix'!Q$2:Q$200,A83)</f>
        <v/>
      </c>
      <c r="C83" s="19">
        <f>IF($B$4=0,0,B83/$B$4)</f>
        <v/>
      </c>
    </row>
    <row r="84">
      <c r="A84" s="11" t="inlineStr">
        <is>
          <t>Both (note which)</t>
        </is>
      </c>
      <c r="B84" s="11">
        <f>COUNTIF('Coding Matrix'!Q$2:Q$200,A84)</f>
        <v/>
      </c>
      <c r="C84" s="19">
        <f>IF($B$4=0,0,B84/$B$4)</f>
        <v/>
      </c>
    </row>
    <row r="85">
      <c r="A85" s="11" t="inlineStr">
        <is>
          <t>N/A (defense-only)</t>
        </is>
      </c>
      <c r="B85" s="11">
        <f>COUNTIF('Coding Matrix'!Q$2:Q$200,A85)</f>
        <v/>
      </c>
      <c r="C85" s="19">
        <f>IF($B$4=0,0,B85/$B$4)</f>
        <v/>
      </c>
    </row>
  </sheetData>
  <mergeCells count="1">
    <mergeCell ref="A79:F79"/>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2026-09-10T04:32:02Z</dcterms:created>
  <dcterms:modified xsi:type="dcterms:W3CDTF">2026-10-01T23:26:38Z</dcterms:modified>
  <cp:lastModifiedBy>Adedapo Odeyemi</cp:lastModifiedBy>
  <cp:revision>0</cp:revision>
</cp:coreProperties>
</file>